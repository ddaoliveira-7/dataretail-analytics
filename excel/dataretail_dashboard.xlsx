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reinamento.NBRFTSP628\Downloads\"/>
    </mc:Choice>
  </mc:AlternateContent>
  <xr:revisionPtr revIDLastSave="0" documentId="13_ncr:1_{94272969-C19A-4638-A80A-C7890F0469A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les_Data" sheetId="1" r:id="rId1"/>
    <sheet name="Dashboard" sheetId="2" r:id="rId2"/>
    <sheet name="Lists" sheetId="3" r:id="rId3"/>
    <sheet name="Instruc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8" i="2" l="1"/>
  <c r="H27" i="2"/>
  <c r="K26" i="2"/>
  <c r="H26" i="2"/>
  <c r="K25" i="2"/>
  <c r="H25" i="2"/>
  <c r="K24" i="2"/>
  <c r="H24" i="2"/>
  <c r="K23" i="2"/>
  <c r="H23" i="2"/>
  <c r="K22" i="2"/>
  <c r="H22" i="2"/>
  <c r="K21" i="2"/>
  <c r="H21" i="2"/>
  <c r="B21" i="2"/>
  <c r="K20" i="2"/>
  <c r="H20" i="2"/>
  <c r="B20" i="2"/>
  <c r="K19" i="2"/>
  <c r="H19" i="2"/>
  <c r="E19" i="2"/>
  <c r="B19" i="2"/>
  <c r="K18" i="2"/>
  <c r="H18" i="2"/>
  <c r="E18" i="2"/>
  <c r="B18" i="2"/>
  <c r="K17" i="2"/>
  <c r="H17" i="2"/>
  <c r="E17" i="2"/>
  <c r="B17" i="2"/>
  <c r="J10" i="2"/>
  <c r="G10" i="2"/>
  <c r="D10" i="2"/>
  <c r="A10" i="2"/>
</calcChain>
</file>

<file path=xl/sharedStrings.xml><?xml version="1.0" encoding="utf-8"?>
<sst xmlns="http://schemas.openxmlformats.org/spreadsheetml/2006/main" count="4625" uniqueCount="158">
  <si>
    <t>Order_ID</t>
  </si>
  <si>
    <t>Order_Date</t>
  </si>
  <si>
    <t>Year</t>
  </si>
  <si>
    <t>Month</t>
  </si>
  <si>
    <t>Customer</t>
  </si>
  <si>
    <t>Segment</t>
  </si>
  <si>
    <t>Region</t>
  </si>
  <si>
    <t>Salesperson</t>
  </si>
  <si>
    <t>Category</t>
  </si>
  <si>
    <t>Product</t>
  </si>
  <si>
    <t>Quantity</t>
  </si>
  <si>
    <t>Unit_Price</t>
  </si>
  <si>
    <t>Total_Amount</t>
  </si>
  <si>
    <t>Payment_Method</t>
  </si>
  <si>
    <t>Status</t>
  </si>
  <si>
    <t>Nov</t>
  </si>
  <si>
    <t>Customer 009</t>
  </si>
  <si>
    <t>Corporate</t>
  </si>
  <si>
    <t>Midwest</t>
  </si>
  <si>
    <t>Bruno Lima</t>
  </si>
  <si>
    <t>Smartphones</t>
  </si>
  <si>
    <t>Phone Alpha</t>
  </si>
  <si>
    <t>Bank Transfer</t>
  </si>
  <si>
    <t>Delivered</t>
  </si>
  <si>
    <t>Feb</t>
  </si>
  <si>
    <t>Customer 036</t>
  </si>
  <si>
    <t>Retail</t>
  </si>
  <si>
    <t>Gabriel Santos</t>
  </si>
  <si>
    <t>Laptops</t>
  </si>
  <si>
    <t>Laptop Pro</t>
  </si>
  <si>
    <t>PIX</t>
  </si>
  <si>
    <t>May</t>
  </si>
  <si>
    <t>Customer 010</t>
  </si>
  <si>
    <t>Northeast</t>
  </si>
  <si>
    <t>Phone Nova</t>
  </si>
  <si>
    <t>Credit Card</t>
  </si>
  <si>
    <t>Jul</t>
  </si>
  <si>
    <t>Customer 035</t>
  </si>
  <si>
    <t>North</t>
  </si>
  <si>
    <t>Accessories</t>
  </si>
  <si>
    <t>USB-C Hub</t>
  </si>
  <si>
    <t>Boleto</t>
  </si>
  <si>
    <t>Cancelled</t>
  </si>
  <si>
    <t>Customer 015</t>
  </si>
  <si>
    <t>Southeast</t>
  </si>
  <si>
    <t>Daniel Rocha</t>
  </si>
  <si>
    <t>Mechanical Keyboard</t>
  </si>
  <si>
    <t>Aug</t>
  </si>
  <si>
    <t>Customer 043</t>
  </si>
  <si>
    <t>Juliana Freitas</t>
  </si>
  <si>
    <t>Customer 060</t>
  </si>
  <si>
    <t>Laptop Gamer</t>
  </si>
  <si>
    <t>Jan</t>
  </si>
  <si>
    <t>Customer 005</t>
  </si>
  <si>
    <t>Fernanda Melo</t>
  </si>
  <si>
    <t>Laptop Air</t>
  </si>
  <si>
    <t>Customer 048</t>
  </si>
  <si>
    <t>Monitors</t>
  </si>
  <si>
    <t>Monitor 27</t>
  </si>
  <si>
    <t>Customer 006</t>
  </si>
  <si>
    <t>Carlos Souza</t>
  </si>
  <si>
    <t>Customer 030</t>
  </si>
  <si>
    <t>Ana Costa</t>
  </si>
  <si>
    <t>Tablets</t>
  </si>
  <si>
    <t>Tablet Mini</t>
  </si>
  <si>
    <t>Oct</t>
  </si>
  <si>
    <t>Customer 011</t>
  </si>
  <si>
    <t>Igor Ribeiro</t>
  </si>
  <si>
    <t>Customer 057</t>
  </si>
  <si>
    <t>Sep</t>
  </si>
  <si>
    <t>Processing</t>
  </si>
  <si>
    <t>Dec</t>
  </si>
  <si>
    <t>Customer 042</t>
  </si>
  <si>
    <t>Helena Martins</t>
  </si>
  <si>
    <t>Laptop Business</t>
  </si>
  <si>
    <t>Customer 038</t>
  </si>
  <si>
    <t>Wireless Mouse</t>
  </si>
  <si>
    <t>Customer 028</t>
  </si>
  <si>
    <t>Customer 052</t>
  </si>
  <si>
    <t>Government</t>
  </si>
  <si>
    <t>South</t>
  </si>
  <si>
    <t>Mar</t>
  </si>
  <si>
    <t>Customer 056</t>
  </si>
  <si>
    <t>Customer 032</t>
  </si>
  <si>
    <t>Customer 047</t>
  </si>
  <si>
    <t>Webcam HD</t>
  </si>
  <si>
    <t>Apr</t>
  </si>
  <si>
    <t>Customer 037</t>
  </si>
  <si>
    <t>Customer 049</t>
  </si>
  <si>
    <t>Tablet Pro</t>
  </si>
  <si>
    <t>Eduarda Alves</t>
  </si>
  <si>
    <t>Customer 046</t>
  </si>
  <si>
    <t>Customer 022</t>
  </si>
  <si>
    <t>Phone Lite</t>
  </si>
  <si>
    <t>Customer 020</t>
  </si>
  <si>
    <t>Tablet Air</t>
  </si>
  <si>
    <t>Customer 027</t>
  </si>
  <si>
    <t>Phone Max</t>
  </si>
  <si>
    <t>Monitor 24</t>
  </si>
  <si>
    <t>Customer 018</t>
  </si>
  <si>
    <t>Customer 017</t>
  </si>
  <si>
    <t>Jun</t>
  </si>
  <si>
    <t>Customer 008</t>
  </si>
  <si>
    <t>Customer 045</t>
  </si>
  <si>
    <t>Customer 001</t>
  </si>
  <si>
    <t>Customer 019</t>
  </si>
  <si>
    <t>Customer 003</t>
  </si>
  <si>
    <t>Customer 016</t>
  </si>
  <si>
    <t>Customer 059</t>
  </si>
  <si>
    <t>E-reader</t>
  </si>
  <si>
    <t>Ultrawide 29</t>
  </si>
  <si>
    <t>Customer 058</t>
  </si>
  <si>
    <t>Customer 023</t>
  </si>
  <si>
    <t>Monitor 32</t>
  </si>
  <si>
    <t>Customer 007</t>
  </si>
  <si>
    <t>Customer 034</t>
  </si>
  <si>
    <t>Customer 021</t>
  </si>
  <si>
    <t>Customer 004</t>
  </si>
  <si>
    <t>Customer 031</t>
  </si>
  <si>
    <t>Customer 041</t>
  </si>
  <si>
    <t>Customer 044</t>
  </si>
  <si>
    <t>Customer 024</t>
  </si>
  <si>
    <t>Customer 054</t>
  </si>
  <si>
    <t>Customer 051</t>
  </si>
  <si>
    <t>Customer 055</t>
  </si>
  <si>
    <t>Customer 025</t>
  </si>
  <si>
    <t>Customer 040</t>
  </si>
  <si>
    <t>Customer 053</t>
  </si>
  <si>
    <t>Customer 014</t>
  </si>
  <si>
    <t>Customer 029</t>
  </si>
  <si>
    <t>Customer 050</t>
  </si>
  <si>
    <t>Customer 002</t>
  </si>
  <si>
    <t>Customer 013</t>
  </si>
  <si>
    <t>Customer 039</t>
  </si>
  <si>
    <t>Customer 026</t>
  </si>
  <si>
    <t>Customer 012</t>
  </si>
  <si>
    <t>Customer 033</t>
  </si>
  <si>
    <t>DATA RETAIL ANALYTICS — EXECUTIVE DASHBOARD</t>
  </si>
  <si>
    <t>Payment</t>
  </si>
  <si>
    <t>All</t>
  </si>
  <si>
    <t>Total Revenue</t>
  </si>
  <si>
    <t>Delivered Orders</t>
  </si>
  <si>
    <t>Average Ticket</t>
  </si>
  <si>
    <t>Cancellation Rate</t>
  </si>
  <si>
    <t>Revenue</t>
  </si>
  <si>
    <t>How to use this workbook</t>
  </si>
  <si>
    <t>1</t>
  </si>
  <si>
    <t>Open the Dashboard sheet.</t>
  </si>
  <si>
    <t>2</t>
  </si>
  <si>
    <t>Use the six dropdown filters at the top.</t>
  </si>
  <si>
    <t>3</t>
  </si>
  <si>
    <t>The KPI cards update automatically.</t>
  </si>
  <si>
    <t>4</t>
  </si>
  <si>
    <t>Use Sales_Data for detailed analysis and validation.</t>
  </si>
  <si>
    <t>5</t>
  </si>
  <si>
    <t>The workbook contains 500 fictional retail transactions for portfolio use.</t>
  </si>
  <si>
    <t>6</t>
  </si>
  <si>
    <t>Upload this file to the excel folder of your GitHub repository.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</si>
</sst>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\$#,##0.00"/>
    <numFmt numFmtId="166" formatCode="\$#,##0"/>
    <numFmt numFmtId="167" formatCode="0.0%"/>
  </numFmts>
  <fonts count="7">
    <font>
      <sz val="11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b/>
      <sz val="11"/>
      <color rgb="FF003B73"/>
      <name val="Carlito"/>
    </font>
    <font>
      <b/>
      <sz val="11"/>
      <name val="Carlito"/>
    </font>
    <font>
      <b/>
      <sz val="12"/>
      <color rgb="FF003B73"/>
      <name val="Carlito"/>
    </font>
    <font>
      <b/>
      <sz val="20"/>
      <color rgb="FF003B73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03B73"/>
      </patternFill>
    </fill>
    <fill>
      <patternFill patternType="solid">
        <fgColor rgb="FFE8EEF5"/>
      </patternFill>
    </fill>
    <fill>
      <patternFill patternType="solid">
        <fgColor rgb="FFFFFFFF"/>
      </patternFill>
    </fill>
    <fill>
      <patternFill patternType="solid">
        <fgColor rgb="FFEAF3FA"/>
      </patternFill>
    </fill>
  </fills>
  <borders count="12">
    <border>
      <left/>
      <right/>
      <top/>
      <bottom/>
      <diagonal/>
    </border>
    <border>
      <left style="thin">
        <color rgb="FFB8C4D1"/>
      </left>
      <right/>
      <top style="thin">
        <color rgb="FFB8C4D1"/>
      </top>
      <bottom style="thin">
        <color rgb="FFB8C4D1"/>
      </bottom>
      <diagonal/>
    </border>
    <border>
      <left/>
      <right/>
      <top style="thin">
        <color rgb="FFB8C4D1"/>
      </top>
      <bottom style="thin">
        <color rgb="FFB8C4D1"/>
      </bottom>
      <diagonal/>
    </border>
    <border>
      <left/>
      <right style="thin">
        <color rgb="FFB8C4D1"/>
      </right>
      <top style="thin">
        <color rgb="FFB8C4D1"/>
      </top>
      <bottom style="thin">
        <color rgb="FFB8C4D1"/>
      </bottom>
      <diagonal/>
    </border>
    <border>
      <left style="thin">
        <color rgb="FFD0D7DE"/>
      </left>
      <right/>
      <top style="thin">
        <color rgb="FFD0D7DE"/>
      </top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 style="thin">
        <color rgb="FFD0D7DE"/>
      </left>
      <right/>
      <top/>
      <bottom/>
      <diagonal/>
    </border>
    <border>
      <left/>
      <right style="thin">
        <color rgb="FFD0D7DE"/>
      </right>
      <top/>
      <bottom/>
      <diagonal/>
    </border>
    <border>
      <left style="thin">
        <color rgb="FFD0D7DE"/>
      </left>
      <right/>
      <top/>
      <bottom style="thin">
        <color rgb="FFD0D7DE"/>
      </bottom>
      <diagonal/>
    </border>
    <border>
      <left/>
      <right/>
      <top/>
      <bottom style="thin">
        <color rgb="FFD0D7DE"/>
      </bottom>
      <diagonal/>
    </border>
    <border>
      <left/>
      <right style="thin">
        <color rgb="FFD0D7DE"/>
      </right>
      <top/>
      <bottom style="thin">
        <color rgb="FFD0D7DE"/>
      </bottom>
      <diagonal/>
    </border>
  </borders>
  <cellStyleXfs count="1">
    <xf numFmtId="0" fontId="0" fillId="0" borderId="0"/>
  </cellStyleXfs>
  <cellXfs count="26">
    <xf numFmtId="0" fontId="0" fillId="0" borderId="0" xfId="0"/>
    <xf numFmtId="164" fontId="0" fillId="0" borderId="0" xfId="0" applyNumberFormat="1" applyFont="1" applyFill="1" applyBorder="1"/>
    <xf numFmtId="165" fontId="0" fillId="0" borderId="0" xfId="0" applyNumberFormat="1" applyFont="1" applyFill="1" applyBorder="1"/>
    <xf numFmtId="0" fontId="1" fillId="2" borderId="0" xfId="0" applyNumberFormat="1" applyFont="1" applyFill="1" applyBorder="1" applyAlignment="1">
      <alignment horizontal="center" vertical="center"/>
    </xf>
    <xf numFmtId="166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2" fillId="2" borderId="0" xfId="0" applyNumberFormat="1" applyFont="1" applyFill="1" applyBorder="1" applyAlignment="1">
      <alignment horizontal="center" vertical="center"/>
    </xf>
    <xf numFmtId="0" fontId="0" fillId="0" borderId="0" xfId="0"/>
    <xf numFmtId="0" fontId="3" fillId="3" borderId="0" xfId="0" applyNumberFormat="1" applyFont="1" applyFill="1" applyBorder="1" applyAlignment="1">
      <alignment horizontal="center"/>
    </xf>
    <xf numFmtId="0" fontId="4" fillId="4" borderId="1" xfId="0" applyNumberFormat="1" applyFont="1" applyFill="1" applyBorder="1" applyAlignment="1">
      <alignment horizontal="center"/>
    </xf>
    <xf numFmtId="0" fontId="4" fillId="4" borderId="2" xfId="0" applyNumberFormat="1" applyFont="1" applyFill="1" applyBorder="1" applyAlignment="1">
      <alignment horizontal="center"/>
    </xf>
    <xf numFmtId="0" fontId="4" fillId="4" borderId="3" xfId="0" applyNumberFormat="1" applyFont="1" applyFill="1" applyBorder="1" applyAlignment="1">
      <alignment horizontal="center"/>
    </xf>
    <xf numFmtId="0" fontId="5" fillId="5" borderId="0" xfId="0" applyNumberFormat="1" applyFont="1" applyFill="1" applyBorder="1" applyAlignment="1">
      <alignment horizontal="center" vertical="center"/>
    </xf>
    <xf numFmtId="166" fontId="6" fillId="4" borderId="4" xfId="0" applyNumberFormat="1" applyFont="1" applyFill="1" applyBorder="1" applyAlignment="1">
      <alignment horizontal="center" vertical="center"/>
    </xf>
    <xf numFmtId="0" fontId="6" fillId="4" borderId="5" xfId="0" applyNumberFormat="1" applyFont="1" applyFill="1" applyBorder="1" applyAlignment="1">
      <alignment horizontal="center" vertical="center"/>
    </xf>
    <xf numFmtId="0" fontId="6" fillId="4" borderId="7" xfId="0" applyNumberFormat="1" applyFont="1" applyFill="1" applyBorder="1" applyAlignment="1">
      <alignment horizontal="center" vertical="center"/>
    </xf>
    <xf numFmtId="0" fontId="6" fillId="4" borderId="0" xfId="0" applyNumberFormat="1" applyFont="1" applyFill="1" applyBorder="1" applyAlignment="1">
      <alignment horizontal="center" vertical="center"/>
    </xf>
    <xf numFmtId="0" fontId="6" fillId="4" borderId="9" xfId="0" applyNumberFormat="1" applyFont="1" applyFill="1" applyBorder="1" applyAlignment="1">
      <alignment horizontal="center" vertical="center"/>
    </xf>
    <xf numFmtId="0" fontId="6" fillId="4" borderId="10" xfId="0" applyNumberFormat="1" applyFont="1" applyFill="1" applyBorder="1" applyAlignment="1">
      <alignment horizontal="center" vertical="center"/>
    </xf>
    <xf numFmtId="1" fontId="6" fillId="4" borderId="5" xfId="0" applyNumberFormat="1" applyFont="1" applyFill="1" applyBorder="1" applyAlignment="1">
      <alignment horizontal="center" vertical="center"/>
    </xf>
    <xf numFmtId="166" fontId="6" fillId="4" borderId="5" xfId="0" applyNumberFormat="1" applyFont="1" applyFill="1" applyBorder="1" applyAlignment="1">
      <alignment horizontal="center" vertical="center"/>
    </xf>
    <xf numFmtId="167" fontId="6" fillId="4" borderId="5" xfId="0" applyNumberFormat="1" applyFont="1" applyFill="1" applyBorder="1" applyAlignment="1">
      <alignment horizontal="center" vertical="center"/>
    </xf>
    <xf numFmtId="0" fontId="6" fillId="4" borderId="6" xfId="0" applyNumberFormat="1" applyFont="1" applyFill="1" applyBorder="1" applyAlignment="1">
      <alignment horizontal="center" vertical="center"/>
    </xf>
    <xf numFmtId="0" fontId="6" fillId="4" borderId="8" xfId="0" applyNumberFormat="1" applyFont="1" applyFill="1" applyBorder="1" applyAlignment="1">
      <alignment horizontal="center" vertical="center"/>
    </xf>
    <xf numFmtId="0" fontId="6" fillId="4" borderId="1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Revenue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invertIfNegative val="1"/>
          <c:cat>
            <c:strRef>
              <c:f>Dashboard!$A$17:$A$21</c:f>
              <c:strCache>
                <c:ptCount val="5"/>
                <c:pt idx="0">
                  <c:v>Southeast</c:v>
                </c:pt>
                <c:pt idx="1">
                  <c:v>South</c:v>
                </c:pt>
                <c:pt idx="2">
                  <c:v>Northeast</c:v>
                </c:pt>
                <c:pt idx="3">
                  <c:v>North</c:v>
                </c:pt>
                <c:pt idx="4">
                  <c:v>Midwest</c:v>
                </c:pt>
              </c:strCache>
            </c:strRef>
          </c:cat>
          <c:val>
            <c:numRef>
              <c:f>Dashboard!$B$17:$B$21</c:f>
              <c:numCache>
                <c:formatCode>\$#,##0</c:formatCode>
                <c:ptCount val="5"/>
                <c:pt idx="0">
                  <c:v>493850.5499999997</c:v>
                </c:pt>
                <c:pt idx="1">
                  <c:v>529348.92000000016</c:v>
                </c:pt>
                <c:pt idx="2">
                  <c:v>524141.42000000004</c:v>
                </c:pt>
                <c:pt idx="3">
                  <c:v>556106.49000000011</c:v>
                </c:pt>
                <c:pt idx="4">
                  <c:v>592165.35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34-4991-BDC7-B807311D7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Revenue by Segment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Revenue</c:v>
          </c:tx>
          <c:cat>
            <c:strRef>
              <c:f>Dashboard!$D$17:$D$19</c:f>
              <c:strCache>
                <c:ptCount val="3"/>
                <c:pt idx="0">
                  <c:v>Retail</c:v>
                </c:pt>
                <c:pt idx="1">
                  <c:v>Corporate</c:v>
                </c:pt>
                <c:pt idx="2">
                  <c:v>Government</c:v>
                </c:pt>
              </c:strCache>
            </c:strRef>
          </c:cat>
          <c:val>
            <c:numRef>
              <c:f>Dashboard!$E$17:$E$19</c:f>
              <c:numCache>
                <c:formatCode>\$#,##0</c:formatCode>
                <c:ptCount val="3"/>
                <c:pt idx="0">
                  <c:v>1440149.4300000009</c:v>
                </c:pt>
                <c:pt idx="1">
                  <c:v>909489.57000000007</c:v>
                </c:pt>
                <c:pt idx="2">
                  <c:v>345973.72999999992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C9-4093-8654-4AE4D3C0D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Monthly Revenue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Revenue</c:v>
          </c:tx>
          <c:cat>
            <c:strRef>
              <c:f>Dashboard!$G$17:$G$28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Dashboard!$H$17:$H$28</c:f>
              <c:numCache>
                <c:formatCode>\$#,##0</c:formatCode>
                <c:ptCount val="12"/>
                <c:pt idx="0">
                  <c:v>168982.46999999997</c:v>
                </c:pt>
                <c:pt idx="1">
                  <c:v>294995.93000000005</c:v>
                </c:pt>
                <c:pt idx="2">
                  <c:v>221079.75999999998</c:v>
                </c:pt>
                <c:pt idx="3">
                  <c:v>156729.19999999998</c:v>
                </c:pt>
                <c:pt idx="4">
                  <c:v>344091.76999999996</c:v>
                </c:pt>
                <c:pt idx="5">
                  <c:v>261606.83999999997</c:v>
                </c:pt>
                <c:pt idx="6">
                  <c:v>246151.11999999997</c:v>
                </c:pt>
                <c:pt idx="7">
                  <c:v>165300.06</c:v>
                </c:pt>
                <c:pt idx="8">
                  <c:v>241700.45</c:v>
                </c:pt>
                <c:pt idx="9">
                  <c:v>200395.66000000003</c:v>
                </c:pt>
                <c:pt idx="10">
                  <c:v>240424.46</c:v>
                </c:pt>
                <c:pt idx="11">
                  <c:v>154155.00999999998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E2-472A-8DF6-32F5F63BC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Salesperson Ranking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invertIfNegative val="1"/>
          <c:cat>
            <c:strRef>
              <c:f>Dashboard!$J$17:$J$26</c:f>
              <c:strCache>
                <c:ptCount val="10"/>
                <c:pt idx="0">
                  <c:v>Ana Costa</c:v>
                </c:pt>
                <c:pt idx="1">
                  <c:v>Bruno Lima</c:v>
                </c:pt>
                <c:pt idx="2">
                  <c:v>Carlos Souza</c:v>
                </c:pt>
                <c:pt idx="3">
                  <c:v>Daniel Rocha</c:v>
                </c:pt>
                <c:pt idx="4">
                  <c:v>Eduarda Alves</c:v>
                </c:pt>
                <c:pt idx="5">
                  <c:v>Fernanda Melo</c:v>
                </c:pt>
                <c:pt idx="6">
                  <c:v>Gabriel Santos</c:v>
                </c:pt>
                <c:pt idx="7">
                  <c:v>Helena Martins</c:v>
                </c:pt>
                <c:pt idx="8">
                  <c:v>Igor Ribeiro</c:v>
                </c:pt>
                <c:pt idx="9">
                  <c:v>Juliana Freitas</c:v>
                </c:pt>
              </c:strCache>
            </c:strRef>
          </c:cat>
          <c:val>
            <c:numRef>
              <c:f>Dashboard!$K$17:$K$26</c:f>
              <c:numCache>
                <c:formatCode>\$#,##0</c:formatCode>
                <c:ptCount val="10"/>
                <c:pt idx="0">
                  <c:v>255175.00000000003</c:v>
                </c:pt>
                <c:pt idx="1">
                  <c:v>323754.76999999996</c:v>
                </c:pt>
                <c:pt idx="2">
                  <c:v>260833.44</c:v>
                </c:pt>
                <c:pt idx="3">
                  <c:v>225204.02999999994</c:v>
                </c:pt>
                <c:pt idx="4">
                  <c:v>250889.63999999996</c:v>
                </c:pt>
                <c:pt idx="5">
                  <c:v>338341.4800000001</c:v>
                </c:pt>
                <c:pt idx="6">
                  <c:v>367168.75999999995</c:v>
                </c:pt>
                <c:pt idx="7">
                  <c:v>270330.61999999988</c:v>
                </c:pt>
                <c:pt idx="8">
                  <c:v>227764.91000000003</c:v>
                </c:pt>
                <c:pt idx="9">
                  <c:v>176150.08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CF-4669-8A59-369385D7E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6</xdr:col>
      <xdr:colOff>0</xdr:colOff>
      <xdr:row>46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29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47</xdr:row>
      <xdr:rowOff>0</xdr:rowOff>
    </xdr:from>
    <xdr:to>
      <xdr:col>6</xdr:col>
      <xdr:colOff>0</xdr:colOff>
      <xdr:row>64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47</xdr:row>
      <xdr:rowOff>0</xdr:rowOff>
    </xdr:from>
    <xdr:to>
      <xdr:col>12</xdr:col>
      <xdr:colOff>0</xdr:colOff>
      <xdr:row>64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Table" displayName="SalesTable" ref="A1:O501">
  <tableColumns count="15">
    <tableColumn id="1" xr3:uid="{00000000-0010-0000-0000-000001000000}" name="Order_ID"/>
    <tableColumn id="2" xr3:uid="{00000000-0010-0000-0000-000002000000}" name="Order_Date"/>
    <tableColumn id="3" xr3:uid="{00000000-0010-0000-0000-000003000000}" name="Year"/>
    <tableColumn id="4" xr3:uid="{00000000-0010-0000-0000-000004000000}" name="Month"/>
    <tableColumn id="5" xr3:uid="{00000000-0010-0000-0000-000005000000}" name="Customer"/>
    <tableColumn id="6" xr3:uid="{00000000-0010-0000-0000-000006000000}" name="Segment"/>
    <tableColumn id="7" xr3:uid="{00000000-0010-0000-0000-000007000000}" name="Region"/>
    <tableColumn id="8" xr3:uid="{00000000-0010-0000-0000-000008000000}" name="Salesperson"/>
    <tableColumn id="9" xr3:uid="{00000000-0010-0000-0000-000009000000}" name="Category"/>
    <tableColumn id="10" xr3:uid="{00000000-0010-0000-0000-00000A000000}" name="Product"/>
    <tableColumn id="11" xr3:uid="{00000000-0010-0000-0000-00000B000000}" name="Quantity"/>
    <tableColumn id="12" xr3:uid="{00000000-0010-0000-0000-00000C000000}" name="Unit_Price"/>
    <tableColumn id="13" xr3:uid="{00000000-0010-0000-0000-00000D000000}" name="Total_Amount"/>
    <tableColumn id="14" xr3:uid="{00000000-0010-0000-0000-00000E000000}" name="Payment_Method"/>
    <tableColumn id="15" xr3:uid="{00000000-0010-0000-0000-00000F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topLeftCell="A67" workbookViewId="0"/>
  </sheetViews>
  <sheetFormatPr defaultRowHeight="13.8"/>
  <cols>
    <col min="1" max="1" width="7.5" customWidth="1"/>
    <col min="2" max="2" width="10.8984375" bestFit="1" customWidth="1"/>
    <col min="3" max="3" width="5" bestFit="1" customWidth="1"/>
    <col min="4" max="4" width="5.69921875" customWidth="1"/>
    <col min="5" max="5" width="20" customWidth="1"/>
    <col min="6" max="6" width="9.8984375" customWidth="1"/>
    <col min="7" max="7" width="8" customWidth="1"/>
    <col min="8" max="8" width="20" customWidth="1"/>
    <col min="9" max="9" width="10.5" customWidth="1"/>
    <col min="10" max="10" width="20" customWidth="1"/>
    <col min="11" max="11" width="7.19921875" customWidth="1"/>
    <col min="12" max="12" width="9.8984375" bestFit="1" customWidth="1"/>
    <col min="13" max="13" width="11.3984375" customWidth="1"/>
    <col min="14" max="14" width="14.19921875" customWidth="1"/>
    <col min="15" max="15" width="8.5" customWidth="1"/>
  </cols>
  <sheetData>
    <row r="1" spans="1:15" ht="19.2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>
        <v>1</v>
      </c>
      <c r="B2" s="1">
        <v>45985</v>
      </c>
      <c r="C2">
        <v>2025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3</v>
      </c>
      <c r="L2" s="2">
        <v>1453.11</v>
      </c>
      <c r="M2" s="2">
        <v>4359.33</v>
      </c>
      <c r="N2" t="s">
        <v>22</v>
      </c>
      <c r="O2" t="s">
        <v>23</v>
      </c>
    </row>
    <row r="3" spans="1:15">
      <c r="A3">
        <v>2</v>
      </c>
      <c r="B3" s="1">
        <v>45705</v>
      </c>
      <c r="C3">
        <v>2025</v>
      </c>
      <c r="D3" t="s">
        <v>24</v>
      </c>
      <c r="E3" t="s">
        <v>25</v>
      </c>
      <c r="F3" t="s">
        <v>26</v>
      </c>
      <c r="G3" t="s">
        <v>18</v>
      </c>
      <c r="H3" t="s">
        <v>27</v>
      </c>
      <c r="I3" t="s">
        <v>28</v>
      </c>
      <c r="J3" t="s">
        <v>29</v>
      </c>
      <c r="K3">
        <v>5</v>
      </c>
      <c r="L3" s="2">
        <v>5363.87</v>
      </c>
      <c r="M3" s="2">
        <v>26819.35</v>
      </c>
      <c r="N3" t="s">
        <v>30</v>
      </c>
      <c r="O3" t="s">
        <v>23</v>
      </c>
    </row>
    <row r="4" spans="1:15">
      <c r="A4">
        <v>3</v>
      </c>
      <c r="B4" s="1">
        <v>45800</v>
      </c>
      <c r="C4">
        <v>2025</v>
      </c>
      <c r="D4" t="s">
        <v>31</v>
      </c>
      <c r="E4" t="s">
        <v>32</v>
      </c>
      <c r="F4" t="s">
        <v>26</v>
      </c>
      <c r="G4" t="s">
        <v>33</v>
      </c>
      <c r="H4" t="s">
        <v>19</v>
      </c>
      <c r="I4" t="s">
        <v>20</v>
      </c>
      <c r="J4" t="s">
        <v>34</v>
      </c>
      <c r="K4">
        <v>4</v>
      </c>
      <c r="L4" s="2">
        <v>2156.85</v>
      </c>
      <c r="M4" s="2">
        <v>8627.4</v>
      </c>
      <c r="N4" t="s">
        <v>35</v>
      </c>
      <c r="O4" t="s">
        <v>23</v>
      </c>
    </row>
    <row r="5" spans="1:15">
      <c r="A5">
        <v>4</v>
      </c>
      <c r="B5" s="1">
        <v>45841</v>
      </c>
      <c r="C5">
        <v>2025</v>
      </c>
      <c r="D5" t="s">
        <v>36</v>
      </c>
      <c r="E5" t="s">
        <v>37</v>
      </c>
      <c r="F5" t="s">
        <v>26</v>
      </c>
      <c r="G5" t="s">
        <v>38</v>
      </c>
      <c r="H5" t="s">
        <v>19</v>
      </c>
      <c r="I5" t="s">
        <v>39</v>
      </c>
      <c r="J5" t="s">
        <v>40</v>
      </c>
      <c r="K5">
        <v>1</v>
      </c>
      <c r="L5" s="2">
        <v>225.04</v>
      </c>
      <c r="M5" s="2">
        <v>225.04</v>
      </c>
      <c r="N5" t="s">
        <v>41</v>
      </c>
      <c r="O5" t="s">
        <v>42</v>
      </c>
    </row>
    <row r="6" spans="1:15">
      <c r="A6">
        <v>5</v>
      </c>
      <c r="B6" s="1">
        <v>45974</v>
      </c>
      <c r="C6">
        <v>2025</v>
      </c>
      <c r="D6" t="s">
        <v>15</v>
      </c>
      <c r="E6" t="s">
        <v>43</v>
      </c>
      <c r="F6" t="s">
        <v>17</v>
      </c>
      <c r="G6" t="s">
        <v>44</v>
      </c>
      <c r="H6" t="s">
        <v>45</v>
      </c>
      <c r="I6" t="s">
        <v>39</v>
      </c>
      <c r="J6" t="s">
        <v>46</v>
      </c>
      <c r="K6">
        <v>1</v>
      </c>
      <c r="L6" s="2">
        <v>329.98</v>
      </c>
      <c r="M6" s="2">
        <v>329.98</v>
      </c>
      <c r="N6" t="s">
        <v>35</v>
      </c>
      <c r="O6" t="s">
        <v>23</v>
      </c>
    </row>
    <row r="7" spans="1:15">
      <c r="A7">
        <v>6</v>
      </c>
      <c r="B7" s="1">
        <v>45890</v>
      </c>
      <c r="C7">
        <v>2025</v>
      </c>
      <c r="D7" t="s">
        <v>47</v>
      </c>
      <c r="E7" t="s">
        <v>48</v>
      </c>
      <c r="F7" t="s">
        <v>26</v>
      </c>
      <c r="G7" t="s">
        <v>44</v>
      </c>
      <c r="H7" t="s">
        <v>49</v>
      </c>
      <c r="I7" t="s">
        <v>39</v>
      </c>
      <c r="J7" t="s">
        <v>46</v>
      </c>
      <c r="K7">
        <v>3</v>
      </c>
      <c r="L7" s="2">
        <v>342.94</v>
      </c>
      <c r="M7" s="2">
        <v>1028.82</v>
      </c>
      <c r="N7" t="s">
        <v>30</v>
      </c>
      <c r="O7" t="s">
        <v>23</v>
      </c>
    </row>
    <row r="8" spans="1:15">
      <c r="A8">
        <v>7</v>
      </c>
      <c r="B8" s="1">
        <v>45783</v>
      </c>
      <c r="C8">
        <v>2025</v>
      </c>
      <c r="D8" t="s">
        <v>31</v>
      </c>
      <c r="E8" t="s">
        <v>50</v>
      </c>
      <c r="F8" t="s">
        <v>17</v>
      </c>
      <c r="G8" t="s">
        <v>18</v>
      </c>
      <c r="H8" t="s">
        <v>45</v>
      </c>
      <c r="I8" t="s">
        <v>28</v>
      </c>
      <c r="J8" t="s">
        <v>51</v>
      </c>
      <c r="K8">
        <v>4</v>
      </c>
      <c r="L8" s="2">
        <v>6805.78</v>
      </c>
      <c r="M8" s="2">
        <v>27223.119999999999</v>
      </c>
      <c r="N8" t="s">
        <v>41</v>
      </c>
      <c r="O8" t="s">
        <v>42</v>
      </c>
    </row>
    <row r="9" spans="1:15">
      <c r="A9">
        <v>8</v>
      </c>
      <c r="B9" s="1">
        <v>45686</v>
      </c>
      <c r="C9">
        <v>2025</v>
      </c>
      <c r="D9" t="s">
        <v>52</v>
      </c>
      <c r="E9" t="s">
        <v>53</v>
      </c>
      <c r="F9" t="s">
        <v>26</v>
      </c>
      <c r="G9" t="s">
        <v>18</v>
      </c>
      <c r="H9" t="s">
        <v>54</v>
      </c>
      <c r="I9" t="s">
        <v>28</v>
      </c>
      <c r="J9" t="s">
        <v>55</v>
      </c>
      <c r="K9">
        <v>3</v>
      </c>
      <c r="L9" s="2">
        <v>3457.5</v>
      </c>
      <c r="M9" s="2">
        <v>10372.5</v>
      </c>
      <c r="N9" t="s">
        <v>30</v>
      </c>
      <c r="O9" t="s">
        <v>23</v>
      </c>
    </row>
    <row r="10" spans="1:15">
      <c r="A10">
        <v>9</v>
      </c>
      <c r="B10" s="1">
        <v>45860</v>
      </c>
      <c r="C10">
        <v>2025</v>
      </c>
      <c r="D10" t="s">
        <v>36</v>
      </c>
      <c r="E10" t="s">
        <v>56</v>
      </c>
      <c r="F10" t="s">
        <v>17</v>
      </c>
      <c r="G10" t="s">
        <v>33</v>
      </c>
      <c r="H10" t="s">
        <v>49</v>
      </c>
      <c r="I10" t="s">
        <v>57</v>
      </c>
      <c r="J10" t="s">
        <v>58</v>
      </c>
      <c r="K10">
        <v>3</v>
      </c>
      <c r="L10" s="2">
        <v>1242.83</v>
      </c>
      <c r="M10" s="2">
        <v>3728.49</v>
      </c>
      <c r="N10" t="s">
        <v>22</v>
      </c>
      <c r="O10" t="s">
        <v>42</v>
      </c>
    </row>
    <row r="11" spans="1:15">
      <c r="A11">
        <v>10</v>
      </c>
      <c r="B11" s="1">
        <v>45862</v>
      </c>
      <c r="C11">
        <v>2025</v>
      </c>
      <c r="D11" t="s">
        <v>36</v>
      </c>
      <c r="E11" t="s">
        <v>59</v>
      </c>
      <c r="F11" t="s">
        <v>17</v>
      </c>
      <c r="G11" t="s">
        <v>44</v>
      </c>
      <c r="H11" t="s">
        <v>60</v>
      </c>
      <c r="I11" t="s">
        <v>39</v>
      </c>
      <c r="J11" t="s">
        <v>46</v>
      </c>
      <c r="K11">
        <v>2</v>
      </c>
      <c r="L11" s="2">
        <v>349.4</v>
      </c>
      <c r="M11" s="2">
        <v>698.8</v>
      </c>
      <c r="N11" t="s">
        <v>30</v>
      </c>
      <c r="O11" t="s">
        <v>23</v>
      </c>
    </row>
    <row r="12" spans="1:15">
      <c r="A12">
        <v>11</v>
      </c>
      <c r="B12" s="1">
        <v>45874</v>
      </c>
      <c r="C12">
        <v>2025</v>
      </c>
      <c r="D12" t="s">
        <v>47</v>
      </c>
      <c r="E12" t="s">
        <v>61</v>
      </c>
      <c r="F12" t="s">
        <v>26</v>
      </c>
      <c r="G12" t="s">
        <v>18</v>
      </c>
      <c r="H12" t="s">
        <v>62</v>
      </c>
      <c r="I12" t="s">
        <v>63</v>
      </c>
      <c r="J12" t="s">
        <v>64</v>
      </c>
      <c r="K12">
        <v>4</v>
      </c>
      <c r="L12" s="2">
        <v>1181.97</v>
      </c>
      <c r="M12" s="2">
        <v>4727.88</v>
      </c>
      <c r="N12" t="s">
        <v>35</v>
      </c>
      <c r="O12" t="s">
        <v>23</v>
      </c>
    </row>
    <row r="13" spans="1:15">
      <c r="A13">
        <v>12</v>
      </c>
      <c r="B13" s="1">
        <v>45932</v>
      </c>
      <c r="C13">
        <v>2025</v>
      </c>
      <c r="D13" t="s">
        <v>65</v>
      </c>
      <c r="E13" t="s">
        <v>66</v>
      </c>
      <c r="F13" t="s">
        <v>26</v>
      </c>
      <c r="G13" t="s">
        <v>33</v>
      </c>
      <c r="H13" t="s">
        <v>67</v>
      </c>
      <c r="I13" t="s">
        <v>39</v>
      </c>
      <c r="J13" t="s">
        <v>40</v>
      </c>
      <c r="K13">
        <v>1</v>
      </c>
      <c r="L13" s="2">
        <v>213.57</v>
      </c>
      <c r="M13" s="2">
        <v>213.57</v>
      </c>
      <c r="N13" t="s">
        <v>30</v>
      </c>
      <c r="O13" t="s">
        <v>23</v>
      </c>
    </row>
    <row r="14" spans="1:15">
      <c r="A14">
        <v>13</v>
      </c>
      <c r="B14" s="1">
        <v>45712</v>
      </c>
      <c r="C14">
        <v>2025</v>
      </c>
      <c r="D14" t="s">
        <v>24</v>
      </c>
      <c r="E14" t="s">
        <v>66</v>
      </c>
      <c r="F14" t="s">
        <v>26</v>
      </c>
      <c r="G14" t="s">
        <v>18</v>
      </c>
      <c r="H14" t="s">
        <v>62</v>
      </c>
      <c r="I14" t="s">
        <v>39</v>
      </c>
      <c r="J14" t="s">
        <v>46</v>
      </c>
      <c r="K14">
        <v>2</v>
      </c>
      <c r="L14" s="2">
        <v>343.72</v>
      </c>
      <c r="M14" s="2">
        <v>687.44</v>
      </c>
      <c r="N14" t="s">
        <v>41</v>
      </c>
      <c r="O14" t="s">
        <v>23</v>
      </c>
    </row>
    <row r="15" spans="1:15">
      <c r="A15">
        <v>14</v>
      </c>
      <c r="B15" s="1">
        <v>45715</v>
      </c>
      <c r="C15">
        <v>2025</v>
      </c>
      <c r="D15" t="s">
        <v>24</v>
      </c>
      <c r="E15" t="s">
        <v>68</v>
      </c>
      <c r="F15" t="s">
        <v>17</v>
      </c>
      <c r="G15" t="s">
        <v>44</v>
      </c>
      <c r="H15" t="s">
        <v>19</v>
      </c>
      <c r="I15" t="s">
        <v>39</v>
      </c>
      <c r="J15" t="s">
        <v>40</v>
      </c>
      <c r="K15">
        <v>2</v>
      </c>
      <c r="L15" s="2">
        <v>207.38</v>
      </c>
      <c r="M15" s="2">
        <v>414.76</v>
      </c>
      <c r="N15" t="s">
        <v>22</v>
      </c>
      <c r="O15" t="s">
        <v>23</v>
      </c>
    </row>
    <row r="16" spans="1:15">
      <c r="A16">
        <v>15</v>
      </c>
      <c r="B16" s="1">
        <v>45930</v>
      </c>
      <c r="C16">
        <v>2025</v>
      </c>
      <c r="D16" t="s">
        <v>69</v>
      </c>
      <c r="E16" t="s">
        <v>66</v>
      </c>
      <c r="F16" t="s">
        <v>26</v>
      </c>
      <c r="G16" t="s">
        <v>18</v>
      </c>
      <c r="H16" t="s">
        <v>27</v>
      </c>
      <c r="I16" t="s">
        <v>28</v>
      </c>
      <c r="J16" t="s">
        <v>29</v>
      </c>
      <c r="K16">
        <v>4</v>
      </c>
      <c r="L16" s="2">
        <v>5583.14</v>
      </c>
      <c r="M16" s="2">
        <v>22332.560000000001</v>
      </c>
      <c r="N16" t="s">
        <v>30</v>
      </c>
      <c r="O16" t="s">
        <v>70</v>
      </c>
    </row>
    <row r="17" spans="1:15">
      <c r="A17">
        <v>16</v>
      </c>
      <c r="B17" s="1">
        <v>46011</v>
      </c>
      <c r="C17">
        <v>2025</v>
      </c>
      <c r="D17" t="s">
        <v>71</v>
      </c>
      <c r="E17" t="s">
        <v>72</v>
      </c>
      <c r="F17" t="s">
        <v>26</v>
      </c>
      <c r="G17" t="s">
        <v>18</v>
      </c>
      <c r="H17" t="s">
        <v>73</v>
      </c>
      <c r="I17" t="s">
        <v>28</v>
      </c>
      <c r="J17" t="s">
        <v>74</v>
      </c>
      <c r="K17">
        <v>4</v>
      </c>
      <c r="L17" s="2">
        <v>4766.32</v>
      </c>
      <c r="M17" s="2">
        <v>19065.28</v>
      </c>
      <c r="N17" t="s">
        <v>35</v>
      </c>
      <c r="O17" t="s">
        <v>23</v>
      </c>
    </row>
    <row r="18" spans="1:15">
      <c r="A18">
        <v>17</v>
      </c>
      <c r="B18" s="1">
        <v>45690</v>
      </c>
      <c r="C18">
        <v>2025</v>
      </c>
      <c r="D18" t="s">
        <v>24</v>
      </c>
      <c r="E18" t="s">
        <v>75</v>
      </c>
      <c r="F18" t="s">
        <v>26</v>
      </c>
      <c r="G18" t="s">
        <v>44</v>
      </c>
      <c r="H18" t="s">
        <v>62</v>
      </c>
      <c r="I18" t="s">
        <v>39</v>
      </c>
      <c r="J18" t="s">
        <v>76</v>
      </c>
      <c r="K18">
        <v>5</v>
      </c>
      <c r="L18" s="2">
        <v>129.83000000000001</v>
      </c>
      <c r="M18" s="2">
        <v>649.15</v>
      </c>
      <c r="N18" t="s">
        <v>30</v>
      </c>
      <c r="O18" t="s">
        <v>23</v>
      </c>
    </row>
    <row r="19" spans="1:15">
      <c r="A19">
        <v>18</v>
      </c>
      <c r="B19" s="1">
        <v>45674</v>
      </c>
      <c r="C19">
        <v>2025</v>
      </c>
      <c r="D19" t="s">
        <v>52</v>
      </c>
      <c r="E19" t="s">
        <v>48</v>
      </c>
      <c r="F19" t="s">
        <v>26</v>
      </c>
      <c r="G19" t="s">
        <v>18</v>
      </c>
      <c r="H19" t="s">
        <v>60</v>
      </c>
      <c r="I19" t="s">
        <v>39</v>
      </c>
      <c r="J19" t="s">
        <v>76</v>
      </c>
      <c r="K19">
        <v>5</v>
      </c>
      <c r="L19" s="2">
        <v>124.94</v>
      </c>
      <c r="M19" s="2">
        <v>624.70000000000005</v>
      </c>
      <c r="N19" t="s">
        <v>22</v>
      </c>
      <c r="O19" t="s">
        <v>23</v>
      </c>
    </row>
    <row r="20" spans="1:15">
      <c r="A20">
        <v>19</v>
      </c>
      <c r="B20" s="1">
        <v>45900</v>
      </c>
      <c r="C20">
        <v>2025</v>
      </c>
      <c r="D20" t="s">
        <v>47</v>
      </c>
      <c r="E20" t="s">
        <v>77</v>
      </c>
      <c r="F20" t="s">
        <v>26</v>
      </c>
      <c r="G20" t="s">
        <v>38</v>
      </c>
      <c r="H20" t="s">
        <v>73</v>
      </c>
      <c r="I20" t="s">
        <v>57</v>
      </c>
      <c r="J20" t="s">
        <v>58</v>
      </c>
      <c r="K20">
        <v>1</v>
      </c>
      <c r="L20" s="2">
        <v>1236.17</v>
      </c>
      <c r="M20" s="2">
        <v>1236.17</v>
      </c>
      <c r="N20" t="s">
        <v>35</v>
      </c>
      <c r="O20" t="s">
        <v>23</v>
      </c>
    </row>
    <row r="21" spans="1:15">
      <c r="A21">
        <v>20</v>
      </c>
      <c r="B21" s="1">
        <v>45988</v>
      </c>
      <c r="C21">
        <v>2025</v>
      </c>
      <c r="D21" t="s">
        <v>15</v>
      </c>
      <c r="E21" t="s">
        <v>78</v>
      </c>
      <c r="F21" t="s">
        <v>79</v>
      </c>
      <c r="G21" t="s">
        <v>80</v>
      </c>
      <c r="H21" t="s">
        <v>45</v>
      </c>
      <c r="I21" t="s">
        <v>20</v>
      </c>
      <c r="J21" t="s">
        <v>21</v>
      </c>
      <c r="K21">
        <v>4</v>
      </c>
      <c r="L21" s="2">
        <v>1540.05</v>
      </c>
      <c r="M21" s="2">
        <v>6160.2</v>
      </c>
      <c r="N21" t="s">
        <v>30</v>
      </c>
      <c r="O21" t="s">
        <v>23</v>
      </c>
    </row>
    <row r="22" spans="1:15">
      <c r="A22">
        <v>21</v>
      </c>
      <c r="B22" s="1">
        <v>45729</v>
      </c>
      <c r="C22">
        <v>2025</v>
      </c>
      <c r="D22" t="s">
        <v>81</v>
      </c>
      <c r="E22" t="s">
        <v>82</v>
      </c>
      <c r="F22" t="s">
        <v>79</v>
      </c>
      <c r="G22" t="s">
        <v>38</v>
      </c>
      <c r="H22" t="s">
        <v>67</v>
      </c>
      <c r="I22" t="s">
        <v>57</v>
      </c>
      <c r="J22" t="s">
        <v>58</v>
      </c>
      <c r="K22">
        <v>3</v>
      </c>
      <c r="L22" s="2">
        <v>1293.17</v>
      </c>
      <c r="M22" s="2">
        <v>3879.51</v>
      </c>
      <c r="N22" t="s">
        <v>35</v>
      </c>
      <c r="O22" t="s">
        <v>23</v>
      </c>
    </row>
    <row r="23" spans="1:15">
      <c r="A23">
        <v>22</v>
      </c>
      <c r="B23" s="1">
        <v>45934</v>
      </c>
      <c r="C23">
        <v>2025</v>
      </c>
      <c r="D23" t="s">
        <v>65</v>
      </c>
      <c r="E23" t="s">
        <v>83</v>
      </c>
      <c r="F23" t="s">
        <v>26</v>
      </c>
      <c r="G23" t="s">
        <v>38</v>
      </c>
      <c r="H23" t="s">
        <v>62</v>
      </c>
      <c r="I23" t="s">
        <v>20</v>
      </c>
      <c r="J23" t="s">
        <v>21</v>
      </c>
      <c r="K23">
        <v>2</v>
      </c>
      <c r="L23" s="2">
        <v>1438.98</v>
      </c>
      <c r="M23" s="2">
        <v>2877.96</v>
      </c>
      <c r="N23" t="s">
        <v>30</v>
      </c>
      <c r="O23" t="s">
        <v>23</v>
      </c>
    </row>
    <row r="24" spans="1:15">
      <c r="A24">
        <v>23</v>
      </c>
      <c r="B24" s="1">
        <v>45857</v>
      </c>
      <c r="C24">
        <v>2025</v>
      </c>
      <c r="D24" t="s">
        <v>36</v>
      </c>
      <c r="E24" t="s">
        <v>84</v>
      </c>
      <c r="F24" t="s">
        <v>79</v>
      </c>
      <c r="G24" t="s">
        <v>18</v>
      </c>
      <c r="H24" t="s">
        <v>73</v>
      </c>
      <c r="I24" t="s">
        <v>39</v>
      </c>
      <c r="J24" t="s">
        <v>85</v>
      </c>
      <c r="K24">
        <v>3</v>
      </c>
      <c r="L24" s="2">
        <v>276.42</v>
      </c>
      <c r="M24" s="2">
        <v>829.26</v>
      </c>
      <c r="N24" t="s">
        <v>30</v>
      </c>
      <c r="O24" t="s">
        <v>23</v>
      </c>
    </row>
    <row r="25" spans="1:15">
      <c r="A25">
        <v>24</v>
      </c>
      <c r="B25" s="1">
        <v>45769</v>
      </c>
      <c r="C25">
        <v>2025</v>
      </c>
      <c r="D25" t="s">
        <v>86</v>
      </c>
      <c r="E25" t="s">
        <v>75</v>
      </c>
      <c r="F25" t="s">
        <v>26</v>
      </c>
      <c r="G25" t="s">
        <v>18</v>
      </c>
      <c r="H25" t="s">
        <v>60</v>
      </c>
      <c r="I25" t="s">
        <v>20</v>
      </c>
      <c r="J25" t="s">
        <v>21</v>
      </c>
      <c r="K25">
        <v>3</v>
      </c>
      <c r="L25" s="2">
        <v>1419.34</v>
      </c>
      <c r="M25" s="2">
        <v>4258.0200000000004</v>
      </c>
      <c r="N25" t="s">
        <v>35</v>
      </c>
      <c r="O25" t="s">
        <v>70</v>
      </c>
    </row>
    <row r="26" spans="1:15">
      <c r="A26">
        <v>25</v>
      </c>
      <c r="B26" s="1">
        <v>45699</v>
      </c>
      <c r="C26">
        <v>2025</v>
      </c>
      <c r="D26" t="s">
        <v>24</v>
      </c>
      <c r="E26" t="s">
        <v>82</v>
      </c>
      <c r="F26" t="s">
        <v>26</v>
      </c>
      <c r="G26" t="s">
        <v>44</v>
      </c>
      <c r="H26" t="s">
        <v>49</v>
      </c>
      <c r="I26" t="s">
        <v>28</v>
      </c>
      <c r="J26" t="s">
        <v>55</v>
      </c>
      <c r="K26">
        <v>5</v>
      </c>
      <c r="L26" s="2">
        <v>3317.6</v>
      </c>
      <c r="M26" s="2">
        <v>16588</v>
      </c>
      <c r="N26" t="s">
        <v>30</v>
      </c>
      <c r="O26" t="s">
        <v>23</v>
      </c>
    </row>
    <row r="27" spans="1:15">
      <c r="A27">
        <v>26</v>
      </c>
      <c r="B27" s="1">
        <v>45678</v>
      </c>
      <c r="C27">
        <v>2025</v>
      </c>
      <c r="D27" t="s">
        <v>52</v>
      </c>
      <c r="E27" t="s">
        <v>87</v>
      </c>
      <c r="F27" t="s">
        <v>26</v>
      </c>
      <c r="G27" t="s">
        <v>33</v>
      </c>
      <c r="H27" t="s">
        <v>45</v>
      </c>
      <c r="I27" t="s">
        <v>63</v>
      </c>
      <c r="J27" t="s">
        <v>64</v>
      </c>
      <c r="K27">
        <v>4</v>
      </c>
      <c r="L27" s="2">
        <v>1221.6400000000001</v>
      </c>
      <c r="M27" s="2">
        <v>4886.5600000000004</v>
      </c>
      <c r="N27" t="s">
        <v>41</v>
      </c>
      <c r="O27" t="s">
        <v>23</v>
      </c>
    </row>
    <row r="28" spans="1:15">
      <c r="A28">
        <v>27</v>
      </c>
      <c r="B28" s="1">
        <v>45860</v>
      </c>
      <c r="C28">
        <v>2025</v>
      </c>
      <c r="D28" t="s">
        <v>36</v>
      </c>
      <c r="E28" t="s">
        <v>88</v>
      </c>
      <c r="F28" t="s">
        <v>79</v>
      </c>
      <c r="G28" t="s">
        <v>44</v>
      </c>
      <c r="H28" t="s">
        <v>73</v>
      </c>
      <c r="I28" t="s">
        <v>28</v>
      </c>
      <c r="J28" t="s">
        <v>74</v>
      </c>
      <c r="K28">
        <v>4</v>
      </c>
      <c r="L28" s="2">
        <v>4399.76</v>
      </c>
      <c r="M28" s="2">
        <v>17599.04</v>
      </c>
      <c r="N28" t="s">
        <v>35</v>
      </c>
      <c r="O28" t="s">
        <v>23</v>
      </c>
    </row>
    <row r="29" spans="1:15">
      <c r="A29">
        <v>28</v>
      </c>
      <c r="B29" s="1">
        <v>45767</v>
      </c>
      <c r="C29">
        <v>2025</v>
      </c>
      <c r="D29" t="s">
        <v>86</v>
      </c>
      <c r="E29" t="s">
        <v>68</v>
      </c>
      <c r="F29" t="s">
        <v>26</v>
      </c>
      <c r="G29" t="s">
        <v>80</v>
      </c>
      <c r="H29" t="s">
        <v>54</v>
      </c>
      <c r="I29" t="s">
        <v>63</v>
      </c>
      <c r="J29" t="s">
        <v>89</v>
      </c>
      <c r="K29">
        <v>2</v>
      </c>
      <c r="L29" s="2">
        <v>3365.32</v>
      </c>
      <c r="M29" s="2">
        <v>6730.64</v>
      </c>
      <c r="N29" t="s">
        <v>41</v>
      </c>
      <c r="O29" t="s">
        <v>23</v>
      </c>
    </row>
    <row r="30" spans="1:15">
      <c r="A30">
        <v>29</v>
      </c>
      <c r="B30" s="1">
        <v>45936</v>
      </c>
      <c r="C30">
        <v>2025</v>
      </c>
      <c r="D30" t="s">
        <v>65</v>
      </c>
      <c r="E30" t="s">
        <v>48</v>
      </c>
      <c r="F30" t="s">
        <v>26</v>
      </c>
      <c r="G30" t="s">
        <v>80</v>
      </c>
      <c r="H30" t="s">
        <v>90</v>
      </c>
      <c r="I30" t="s">
        <v>39</v>
      </c>
      <c r="J30" t="s">
        <v>76</v>
      </c>
      <c r="K30">
        <v>5</v>
      </c>
      <c r="L30" s="2">
        <v>125.89</v>
      </c>
      <c r="M30" s="2">
        <v>629.45000000000005</v>
      </c>
      <c r="N30" t="s">
        <v>35</v>
      </c>
      <c r="O30" t="s">
        <v>42</v>
      </c>
    </row>
    <row r="31" spans="1:15">
      <c r="A31">
        <v>30</v>
      </c>
      <c r="B31" s="1">
        <v>45941</v>
      </c>
      <c r="C31">
        <v>2025</v>
      </c>
      <c r="D31" t="s">
        <v>65</v>
      </c>
      <c r="E31" t="s">
        <v>91</v>
      </c>
      <c r="F31" t="s">
        <v>26</v>
      </c>
      <c r="G31" t="s">
        <v>33</v>
      </c>
      <c r="H31" t="s">
        <v>67</v>
      </c>
      <c r="I31" t="s">
        <v>28</v>
      </c>
      <c r="J31" t="s">
        <v>74</v>
      </c>
      <c r="K31">
        <v>3</v>
      </c>
      <c r="L31" s="2">
        <v>4555.6000000000004</v>
      </c>
      <c r="M31" s="2">
        <v>13666.8</v>
      </c>
      <c r="N31" t="s">
        <v>22</v>
      </c>
      <c r="O31" t="s">
        <v>23</v>
      </c>
    </row>
    <row r="32" spans="1:15">
      <c r="A32">
        <v>31</v>
      </c>
      <c r="B32" s="1">
        <v>45684</v>
      </c>
      <c r="C32">
        <v>2025</v>
      </c>
      <c r="D32" t="s">
        <v>52</v>
      </c>
      <c r="E32" t="s">
        <v>92</v>
      </c>
      <c r="F32" t="s">
        <v>17</v>
      </c>
      <c r="G32" t="s">
        <v>33</v>
      </c>
      <c r="H32" t="s">
        <v>60</v>
      </c>
      <c r="I32" t="s">
        <v>20</v>
      </c>
      <c r="J32" t="s">
        <v>93</v>
      </c>
      <c r="K32">
        <v>3</v>
      </c>
      <c r="L32" s="2">
        <v>944.35</v>
      </c>
      <c r="M32" s="2">
        <v>2833.05</v>
      </c>
      <c r="N32" t="s">
        <v>22</v>
      </c>
      <c r="O32" t="s">
        <v>23</v>
      </c>
    </row>
    <row r="33" spans="1:15">
      <c r="A33">
        <v>32</v>
      </c>
      <c r="B33" s="1">
        <v>45876</v>
      </c>
      <c r="C33">
        <v>2025</v>
      </c>
      <c r="D33" t="s">
        <v>47</v>
      </c>
      <c r="E33" t="s">
        <v>68</v>
      </c>
      <c r="F33" t="s">
        <v>17</v>
      </c>
      <c r="G33" t="s">
        <v>80</v>
      </c>
      <c r="H33" t="s">
        <v>67</v>
      </c>
      <c r="I33" t="s">
        <v>63</v>
      </c>
      <c r="J33" t="s">
        <v>64</v>
      </c>
      <c r="K33">
        <v>1</v>
      </c>
      <c r="L33" s="2">
        <v>1137.8900000000001</v>
      </c>
      <c r="M33" s="2">
        <v>1137.8900000000001</v>
      </c>
      <c r="N33" t="s">
        <v>35</v>
      </c>
      <c r="O33" t="s">
        <v>42</v>
      </c>
    </row>
    <row r="34" spans="1:15">
      <c r="A34">
        <v>33</v>
      </c>
      <c r="B34" s="1">
        <v>45956</v>
      </c>
      <c r="C34">
        <v>2025</v>
      </c>
      <c r="D34" t="s">
        <v>65</v>
      </c>
      <c r="E34" t="s">
        <v>94</v>
      </c>
      <c r="F34" t="s">
        <v>26</v>
      </c>
      <c r="G34" t="s">
        <v>44</v>
      </c>
      <c r="H34" t="s">
        <v>54</v>
      </c>
      <c r="I34" t="s">
        <v>63</v>
      </c>
      <c r="J34" t="s">
        <v>95</v>
      </c>
      <c r="K34">
        <v>4</v>
      </c>
      <c r="L34" s="2">
        <v>1909.63</v>
      </c>
      <c r="M34" s="2">
        <v>7638.52</v>
      </c>
      <c r="N34" t="s">
        <v>30</v>
      </c>
      <c r="O34" t="s">
        <v>23</v>
      </c>
    </row>
    <row r="35" spans="1:15">
      <c r="A35">
        <v>34</v>
      </c>
      <c r="B35" s="1">
        <v>45999</v>
      </c>
      <c r="C35">
        <v>2025</v>
      </c>
      <c r="D35" t="s">
        <v>71</v>
      </c>
      <c r="E35" t="s">
        <v>96</v>
      </c>
      <c r="F35" t="s">
        <v>79</v>
      </c>
      <c r="G35" t="s">
        <v>80</v>
      </c>
      <c r="H35" t="s">
        <v>45</v>
      </c>
      <c r="I35" t="s">
        <v>20</v>
      </c>
      <c r="J35" t="s">
        <v>97</v>
      </c>
      <c r="K35">
        <v>5</v>
      </c>
      <c r="L35" s="2">
        <v>3137.24</v>
      </c>
      <c r="M35" s="2">
        <v>15686.2</v>
      </c>
      <c r="N35" t="s">
        <v>30</v>
      </c>
      <c r="O35" t="s">
        <v>70</v>
      </c>
    </row>
    <row r="36" spans="1:15">
      <c r="A36">
        <v>35</v>
      </c>
      <c r="B36" s="1">
        <v>45748</v>
      </c>
      <c r="C36">
        <v>2025</v>
      </c>
      <c r="D36" t="s">
        <v>86</v>
      </c>
      <c r="E36" t="s">
        <v>92</v>
      </c>
      <c r="F36" t="s">
        <v>17</v>
      </c>
      <c r="G36" t="s">
        <v>38</v>
      </c>
      <c r="H36" t="s">
        <v>45</v>
      </c>
      <c r="I36" t="s">
        <v>57</v>
      </c>
      <c r="J36" t="s">
        <v>98</v>
      </c>
      <c r="K36">
        <v>2</v>
      </c>
      <c r="L36" s="2">
        <v>924.52</v>
      </c>
      <c r="M36" s="2">
        <v>1849.04</v>
      </c>
      <c r="N36" t="s">
        <v>41</v>
      </c>
      <c r="O36" t="s">
        <v>23</v>
      </c>
    </row>
    <row r="37" spans="1:15">
      <c r="A37">
        <v>36</v>
      </c>
      <c r="B37" s="1">
        <v>46017</v>
      </c>
      <c r="C37">
        <v>2025</v>
      </c>
      <c r="D37" t="s">
        <v>71</v>
      </c>
      <c r="E37" t="s">
        <v>43</v>
      </c>
      <c r="F37" t="s">
        <v>26</v>
      </c>
      <c r="G37" t="s">
        <v>38</v>
      </c>
      <c r="H37" t="s">
        <v>54</v>
      </c>
      <c r="I37" t="s">
        <v>20</v>
      </c>
      <c r="J37" t="s">
        <v>93</v>
      </c>
      <c r="K37">
        <v>1</v>
      </c>
      <c r="L37" s="2">
        <v>1041.99</v>
      </c>
      <c r="M37" s="2">
        <v>1041.99</v>
      </c>
      <c r="N37" t="s">
        <v>41</v>
      </c>
      <c r="O37" t="s">
        <v>42</v>
      </c>
    </row>
    <row r="38" spans="1:15">
      <c r="A38">
        <v>37</v>
      </c>
      <c r="B38" s="1">
        <v>45774</v>
      </c>
      <c r="C38">
        <v>2025</v>
      </c>
      <c r="D38" t="s">
        <v>86</v>
      </c>
      <c r="E38" t="s">
        <v>99</v>
      </c>
      <c r="F38" t="s">
        <v>79</v>
      </c>
      <c r="G38" t="s">
        <v>33</v>
      </c>
      <c r="H38" t="s">
        <v>54</v>
      </c>
      <c r="I38" t="s">
        <v>28</v>
      </c>
      <c r="J38" t="s">
        <v>55</v>
      </c>
      <c r="K38">
        <v>2</v>
      </c>
      <c r="L38" s="2">
        <v>3456.37</v>
      </c>
      <c r="M38" s="2">
        <v>6912.74</v>
      </c>
      <c r="N38" t="s">
        <v>22</v>
      </c>
      <c r="O38" t="s">
        <v>23</v>
      </c>
    </row>
    <row r="39" spans="1:15">
      <c r="A39">
        <v>38</v>
      </c>
      <c r="B39" s="1">
        <v>45932</v>
      </c>
      <c r="C39">
        <v>2025</v>
      </c>
      <c r="D39" t="s">
        <v>65</v>
      </c>
      <c r="E39" t="s">
        <v>100</v>
      </c>
      <c r="F39" t="s">
        <v>26</v>
      </c>
      <c r="G39" t="s">
        <v>33</v>
      </c>
      <c r="H39" t="s">
        <v>62</v>
      </c>
      <c r="I39" t="s">
        <v>39</v>
      </c>
      <c r="J39" t="s">
        <v>76</v>
      </c>
      <c r="K39">
        <v>1</v>
      </c>
      <c r="L39" s="2">
        <v>134.84</v>
      </c>
      <c r="M39" s="2">
        <v>134.84</v>
      </c>
      <c r="N39" t="s">
        <v>35</v>
      </c>
      <c r="O39" t="s">
        <v>23</v>
      </c>
    </row>
    <row r="40" spans="1:15">
      <c r="A40">
        <v>39</v>
      </c>
      <c r="B40" s="1">
        <v>45834</v>
      </c>
      <c r="C40">
        <v>2025</v>
      </c>
      <c r="D40" t="s">
        <v>101</v>
      </c>
      <c r="E40" t="s">
        <v>102</v>
      </c>
      <c r="F40" t="s">
        <v>26</v>
      </c>
      <c r="G40" t="s">
        <v>18</v>
      </c>
      <c r="H40" t="s">
        <v>45</v>
      </c>
      <c r="I40" t="s">
        <v>39</v>
      </c>
      <c r="J40" t="s">
        <v>85</v>
      </c>
      <c r="K40">
        <v>5</v>
      </c>
      <c r="L40" s="2">
        <v>295.20999999999998</v>
      </c>
      <c r="M40" s="2">
        <v>1476.05</v>
      </c>
      <c r="N40" t="s">
        <v>41</v>
      </c>
      <c r="O40" t="s">
        <v>23</v>
      </c>
    </row>
    <row r="41" spans="1:15">
      <c r="A41">
        <v>40</v>
      </c>
      <c r="B41" s="1">
        <v>45881</v>
      </c>
      <c r="C41">
        <v>2025</v>
      </c>
      <c r="D41" t="s">
        <v>47</v>
      </c>
      <c r="E41" t="s">
        <v>48</v>
      </c>
      <c r="F41" t="s">
        <v>79</v>
      </c>
      <c r="G41" t="s">
        <v>18</v>
      </c>
      <c r="H41" t="s">
        <v>54</v>
      </c>
      <c r="I41" t="s">
        <v>20</v>
      </c>
      <c r="J41" t="s">
        <v>34</v>
      </c>
      <c r="K41">
        <v>3</v>
      </c>
      <c r="L41" s="2">
        <v>2180.87</v>
      </c>
      <c r="M41" s="2">
        <v>6542.61</v>
      </c>
      <c r="N41" t="s">
        <v>35</v>
      </c>
      <c r="O41" t="s">
        <v>23</v>
      </c>
    </row>
    <row r="42" spans="1:15">
      <c r="A42">
        <v>41</v>
      </c>
      <c r="B42" s="1">
        <v>45811</v>
      </c>
      <c r="C42">
        <v>2025</v>
      </c>
      <c r="D42" t="s">
        <v>101</v>
      </c>
      <c r="E42" t="s">
        <v>103</v>
      </c>
      <c r="F42" t="s">
        <v>26</v>
      </c>
      <c r="G42" t="s">
        <v>80</v>
      </c>
      <c r="H42" t="s">
        <v>45</v>
      </c>
      <c r="I42" t="s">
        <v>63</v>
      </c>
      <c r="J42" t="s">
        <v>89</v>
      </c>
      <c r="K42">
        <v>4</v>
      </c>
      <c r="L42" s="2">
        <v>3132.28</v>
      </c>
      <c r="M42" s="2">
        <v>12529.12</v>
      </c>
      <c r="N42" t="s">
        <v>22</v>
      </c>
      <c r="O42" t="s">
        <v>23</v>
      </c>
    </row>
    <row r="43" spans="1:15">
      <c r="A43">
        <v>42</v>
      </c>
      <c r="B43" s="1">
        <v>45852</v>
      </c>
      <c r="C43">
        <v>2025</v>
      </c>
      <c r="D43" t="s">
        <v>36</v>
      </c>
      <c r="E43" t="s">
        <v>104</v>
      </c>
      <c r="F43" t="s">
        <v>26</v>
      </c>
      <c r="G43" t="s">
        <v>80</v>
      </c>
      <c r="H43" t="s">
        <v>27</v>
      </c>
      <c r="I43" t="s">
        <v>28</v>
      </c>
      <c r="J43" t="s">
        <v>74</v>
      </c>
      <c r="K43">
        <v>4</v>
      </c>
      <c r="L43" s="2">
        <v>4524.88</v>
      </c>
      <c r="M43" s="2">
        <v>18099.52</v>
      </c>
      <c r="N43" t="s">
        <v>41</v>
      </c>
      <c r="O43" t="s">
        <v>23</v>
      </c>
    </row>
    <row r="44" spans="1:15">
      <c r="A44">
        <v>43</v>
      </c>
      <c r="B44" s="1">
        <v>45884</v>
      </c>
      <c r="C44">
        <v>2025</v>
      </c>
      <c r="D44" t="s">
        <v>47</v>
      </c>
      <c r="E44" t="s">
        <v>105</v>
      </c>
      <c r="F44" t="s">
        <v>26</v>
      </c>
      <c r="G44" t="s">
        <v>18</v>
      </c>
      <c r="H44" t="s">
        <v>54</v>
      </c>
      <c r="I44" t="s">
        <v>28</v>
      </c>
      <c r="J44" t="s">
        <v>51</v>
      </c>
      <c r="K44">
        <v>2</v>
      </c>
      <c r="L44" s="2">
        <v>7132.42</v>
      </c>
      <c r="M44" s="2">
        <v>14264.84</v>
      </c>
      <c r="N44" t="s">
        <v>35</v>
      </c>
      <c r="O44" t="s">
        <v>23</v>
      </c>
    </row>
    <row r="45" spans="1:15">
      <c r="A45">
        <v>44</v>
      </c>
      <c r="B45" s="1">
        <v>45778</v>
      </c>
      <c r="C45">
        <v>2025</v>
      </c>
      <c r="D45" t="s">
        <v>31</v>
      </c>
      <c r="E45" t="s">
        <v>106</v>
      </c>
      <c r="F45" t="s">
        <v>26</v>
      </c>
      <c r="G45" t="s">
        <v>38</v>
      </c>
      <c r="H45" t="s">
        <v>49</v>
      </c>
      <c r="I45" t="s">
        <v>39</v>
      </c>
      <c r="J45" t="s">
        <v>46</v>
      </c>
      <c r="K45">
        <v>2</v>
      </c>
      <c r="L45" s="2">
        <v>334.23</v>
      </c>
      <c r="M45" s="2">
        <v>668.46</v>
      </c>
      <c r="N45" t="s">
        <v>35</v>
      </c>
      <c r="O45" t="s">
        <v>23</v>
      </c>
    </row>
    <row r="46" spans="1:15">
      <c r="A46">
        <v>45</v>
      </c>
      <c r="B46" s="1">
        <v>45980</v>
      </c>
      <c r="C46">
        <v>2025</v>
      </c>
      <c r="D46" t="s">
        <v>15</v>
      </c>
      <c r="E46" t="s">
        <v>107</v>
      </c>
      <c r="F46" t="s">
        <v>26</v>
      </c>
      <c r="G46" t="s">
        <v>44</v>
      </c>
      <c r="H46" t="s">
        <v>19</v>
      </c>
      <c r="I46" t="s">
        <v>63</v>
      </c>
      <c r="J46" t="s">
        <v>95</v>
      </c>
      <c r="K46">
        <v>4</v>
      </c>
      <c r="L46" s="2">
        <v>1997.65</v>
      </c>
      <c r="M46" s="2">
        <v>7990.6</v>
      </c>
      <c r="N46" t="s">
        <v>22</v>
      </c>
      <c r="O46" t="s">
        <v>23</v>
      </c>
    </row>
    <row r="47" spans="1:15">
      <c r="A47">
        <v>46</v>
      </c>
      <c r="B47" s="1">
        <v>46014</v>
      </c>
      <c r="C47">
        <v>2025</v>
      </c>
      <c r="D47" t="s">
        <v>71</v>
      </c>
      <c r="E47" t="s">
        <v>108</v>
      </c>
      <c r="F47" t="s">
        <v>17</v>
      </c>
      <c r="G47" t="s">
        <v>38</v>
      </c>
      <c r="H47" t="s">
        <v>60</v>
      </c>
      <c r="I47" t="s">
        <v>63</v>
      </c>
      <c r="J47" t="s">
        <v>109</v>
      </c>
      <c r="K47">
        <v>1</v>
      </c>
      <c r="L47" s="2">
        <v>804.5</v>
      </c>
      <c r="M47" s="2">
        <v>804.5</v>
      </c>
      <c r="N47" t="s">
        <v>22</v>
      </c>
      <c r="O47" t="s">
        <v>23</v>
      </c>
    </row>
    <row r="48" spans="1:15">
      <c r="A48">
        <v>47</v>
      </c>
      <c r="B48" s="1">
        <v>45944</v>
      </c>
      <c r="C48">
        <v>2025</v>
      </c>
      <c r="D48" t="s">
        <v>65</v>
      </c>
      <c r="E48" t="s">
        <v>84</v>
      </c>
      <c r="F48" t="s">
        <v>79</v>
      </c>
      <c r="G48" t="s">
        <v>38</v>
      </c>
      <c r="H48" t="s">
        <v>67</v>
      </c>
      <c r="I48" t="s">
        <v>63</v>
      </c>
      <c r="J48" t="s">
        <v>89</v>
      </c>
      <c r="K48">
        <v>4</v>
      </c>
      <c r="L48" s="2">
        <v>3242.24</v>
      </c>
      <c r="M48" s="2">
        <v>12968.96</v>
      </c>
      <c r="N48" t="s">
        <v>22</v>
      </c>
      <c r="O48" t="s">
        <v>42</v>
      </c>
    </row>
    <row r="49" spans="1:15">
      <c r="A49">
        <v>48</v>
      </c>
      <c r="B49" s="1">
        <v>45901</v>
      </c>
      <c r="C49">
        <v>2025</v>
      </c>
      <c r="D49" t="s">
        <v>69</v>
      </c>
      <c r="E49" t="s">
        <v>99</v>
      </c>
      <c r="F49" t="s">
        <v>17</v>
      </c>
      <c r="G49" t="s">
        <v>18</v>
      </c>
      <c r="H49" t="s">
        <v>73</v>
      </c>
      <c r="I49" t="s">
        <v>57</v>
      </c>
      <c r="J49" t="s">
        <v>110</v>
      </c>
      <c r="K49">
        <v>2</v>
      </c>
      <c r="L49" s="2">
        <v>1976.45</v>
      </c>
      <c r="M49" s="2">
        <v>3952.9</v>
      </c>
      <c r="N49" t="s">
        <v>30</v>
      </c>
      <c r="O49" t="s">
        <v>23</v>
      </c>
    </row>
    <row r="50" spans="1:15">
      <c r="A50">
        <v>49</v>
      </c>
      <c r="B50" s="1">
        <v>45697</v>
      </c>
      <c r="C50">
        <v>2025</v>
      </c>
      <c r="D50" t="s">
        <v>24</v>
      </c>
      <c r="E50" t="s">
        <v>111</v>
      </c>
      <c r="F50" t="s">
        <v>26</v>
      </c>
      <c r="G50" t="s">
        <v>80</v>
      </c>
      <c r="H50" t="s">
        <v>60</v>
      </c>
      <c r="I50" t="s">
        <v>39</v>
      </c>
      <c r="J50" t="s">
        <v>46</v>
      </c>
      <c r="K50">
        <v>3</v>
      </c>
      <c r="L50" s="2">
        <v>342.13</v>
      </c>
      <c r="M50" s="2">
        <v>1026.3900000000001</v>
      </c>
      <c r="N50" t="s">
        <v>30</v>
      </c>
      <c r="O50" t="s">
        <v>23</v>
      </c>
    </row>
    <row r="51" spans="1:15">
      <c r="A51">
        <v>50</v>
      </c>
      <c r="B51" s="1">
        <v>45736</v>
      </c>
      <c r="C51">
        <v>2025</v>
      </c>
      <c r="D51" t="s">
        <v>81</v>
      </c>
      <c r="E51" t="s">
        <v>37</v>
      </c>
      <c r="F51" t="s">
        <v>26</v>
      </c>
      <c r="G51" t="s">
        <v>44</v>
      </c>
      <c r="H51" t="s">
        <v>45</v>
      </c>
      <c r="I51" t="s">
        <v>28</v>
      </c>
      <c r="J51" t="s">
        <v>55</v>
      </c>
      <c r="K51">
        <v>4</v>
      </c>
      <c r="L51" s="2">
        <v>3460.2</v>
      </c>
      <c r="M51" s="2">
        <v>13840.8</v>
      </c>
      <c r="N51" t="s">
        <v>22</v>
      </c>
      <c r="O51" t="s">
        <v>23</v>
      </c>
    </row>
    <row r="52" spans="1:15">
      <c r="A52">
        <v>51</v>
      </c>
      <c r="B52" s="1">
        <v>45957</v>
      </c>
      <c r="C52">
        <v>2025</v>
      </c>
      <c r="D52" t="s">
        <v>65</v>
      </c>
      <c r="E52" t="s">
        <v>112</v>
      </c>
      <c r="F52" t="s">
        <v>26</v>
      </c>
      <c r="G52" t="s">
        <v>38</v>
      </c>
      <c r="H52" t="s">
        <v>27</v>
      </c>
      <c r="I52" t="s">
        <v>20</v>
      </c>
      <c r="J52" t="s">
        <v>93</v>
      </c>
      <c r="K52">
        <v>4</v>
      </c>
      <c r="L52" s="2">
        <v>939.77</v>
      </c>
      <c r="M52" s="2">
        <v>3759.08</v>
      </c>
      <c r="N52" t="s">
        <v>30</v>
      </c>
      <c r="O52" t="s">
        <v>23</v>
      </c>
    </row>
    <row r="53" spans="1:15">
      <c r="A53">
        <v>52</v>
      </c>
      <c r="B53" s="1">
        <v>45797</v>
      </c>
      <c r="C53">
        <v>2025</v>
      </c>
      <c r="D53" t="s">
        <v>31</v>
      </c>
      <c r="E53" t="s">
        <v>48</v>
      </c>
      <c r="F53" t="s">
        <v>17</v>
      </c>
      <c r="G53" t="s">
        <v>38</v>
      </c>
      <c r="H53" t="s">
        <v>60</v>
      </c>
      <c r="I53" t="s">
        <v>57</v>
      </c>
      <c r="J53" t="s">
        <v>113</v>
      </c>
      <c r="K53">
        <v>1</v>
      </c>
      <c r="L53" s="2">
        <v>2268.34</v>
      </c>
      <c r="M53" s="2">
        <v>2268.34</v>
      </c>
      <c r="N53" t="s">
        <v>22</v>
      </c>
      <c r="O53" t="s">
        <v>42</v>
      </c>
    </row>
    <row r="54" spans="1:15">
      <c r="A54">
        <v>53</v>
      </c>
      <c r="B54" s="1">
        <v>45976</v>
      </c>
      <c r="C54">
        <v>2025</v>
      </c>
      <c r="D54" t="s">
        <v>15</v>
      </c>
      <c r="E54" t="s">
        <v>48</v>
      </c>
      <c r="F54" t="s">
        <v>26</v>
      </c>
      <c r="G54" t="s">
        <v>38</v>
      </c>
      <c r="H54" t="s">
        <v>60</v>
      </c>
      <c r="I54" t="s">
        <v>63</v>
      </c>
      <c r="J54" t="s">
        <v>64</v>
      </c>
      <c r="K54">
        <v>4</v>
      </c>
      <c r="L54" s="2">
        <v>1212.22</v>
      </c>
      <c r="M54" s="2">
        <v>4848.88</v>
      </c>
      <c r="N54" t="s">
        <v>22</v>
      </c>
      <c r="O54" t="s">
        <v>23</v>
      </c>
    </row>
    <row r="55" spans="1:15">
      <c r="A55">
        <v>54</v>
      </c>
      <c r="B55" s="1">
        <v>45791</v>
      </c>
      <c r="C55">
        <v>2025</v>
      </c>
      <c r="D55" t="s">
        <v>31</v>
      </c>
      <c r="E55" t="s">
        <v>92</v>
      </c>
      <c r="F55" t="s">
        <v>17</v>
      </c>
      <c r="G55" t="s">
        <v>38</v>
      </c>
      <c r="H55" t="s">
        <v>90</v>
      </c>
      <c r="I55" t="s">
        <v>57</v>
      </c>
      <c r="J55" t="s">
        <v>110</v>
      </c>
      <c r="K55">
        <v>2</v>
      </c>
      <c r="L55" s="2">
        <v>1888.68</v>
      </c>
      <c r="M55" s="2">
        <v>3777.36</v>
      </c>
      <c r="N55" t="s">
        <v>22</v>
      </c>
      <c r="O55" t="s">
        <v>23</v>
      </c>
    </row>
    <row r="56" spans="1:15">
      <c r="A56">
        <v>55</v>
      </c>
      <c r="B56" s="1">
        <v>45699</v>
      </c>
      <c r="C56">
        <v>2025</v>
      </c>
      <c r="D56" t="s">
        <v>24</v>
      </c>
      <c r="E56" t="s">
        <v>112</v>
      </c>
      <c r="F56" t="s">
        <v>26</v>
      </c>
      <c r="G56" t="s">
        <v>44</v>
      </c>
      <c r="H56" t="s">
        <v>62</v>
      </c>
      <c r="I56" t="s">
        <v>57</v>
      </c>
      <c r="J56" t="s">
        <v>98</v>
      </c>
      <c r="K56">
        <v>5</v>
      </c>
      <c r="L56" s="2">
        <v>850.68</v>
      </c>
      <c r="M56" s="2">
        <v>4253.3999999999996</v>
      </c>
      <c r="N56" t="s">
        <v>35</v>
      </c>
      <c r="O56" t="s">
        <v>70</v>
      </c>
    </row>
    <row r="57" spans="1:15">
      <c r="A57">
        <v>56</v>
      </c>
      <c r="B57" s="1">
        <v>45760</v>
      </c>
      <c r="C57">
        <v>2025</v>
      </c>
      <c r="D57" t="s">
        <v>86</v>
      </c>
      <c r="E57" t="s">
        <v>48</v>
      </c>
      <c r="F57" t="s">
        <v>26</v>
      </c>
      <c r="G57" t="s">
        <v>80</v>
      </c>
      <c r="H57" t="s">
        <v>73</v>
      </c>
      <c r="I57" t="s">
        <v>20</v>
      </c>
      <c r="J57" t="s">
        <v>34</v>
      </c>
      <c r="K57">
        <v>2</v>
      </c>
      <c r="L57" s="2">
        <v>2100.37</v>
      </c>
      <c r="M57" s="2">
        <v>4200.74</v>
      </c>
      <c r="N57" t="s">
        <v>41</v>
      </c>
      <c r="O57" t="s">
        <v>23</v>
      </c>
    </row>
    <row r="58" spans="1:15">
      <c r="A58">
        <v>57</v>
      </c>
      <c r="B58" s="1">
        <v>45743</v>
      </c>
      <c r="C58">
        <v>2025</v>
      </c>
      <c r="D58" t="s">
        <v>81</v>
      </c>
      <c r="E58" t="s">
        <v>114</v>
      </c>
      <c r="F58" t="s">
        <v>17</v>
      </c>
      <c r="G58" t="s">
        <v>33</v>
      </c>
      <c r="H58" t="s">
        <v>49</v>
      </c>
      <c r="I58" t="s">
        <v>63</v>
      </c>
      <c r="J58" t="s">
        <v>64</v>
      </c>
      <c r="K58">
        <v>2</v>
      </c>
      <c r="L58" s="2">
        <v>1265.8599999999999</v>
      </c>
      <c r="M58" s="2">
        <v>2531.7199999999998</v>
      </c>
      <c r="N58" t="s">
        <v>22</v>
      </c>
      <c r="O58" t="s">
        <v>23</v>
      </c>
    </row>
    <row r="59" spans="1:15">
      <c r="A59">
        <v>58</v>
      </c>
      <c r="B59" s="1">
        <v>45759</v>
      </c>
      <c r="C59">
        <v>2025</v>
      </c>
      <c r="D59" t="s">
        <v>86</v>
      </c>
      <c r="E59" t="s">
        <v>94</v>
      </c>
      <c r="F59" t="s">
        <v>79</v>
      </c>
      <c r="G59" t="s">
        <v>18</v>
      </c>
      <c r="H59" t="s">
        <v>19</v>
      </c>
      <c r="I59" t="s">
        <v>20</v>
      </c>
      <c r="J59" t="s">
        <v>34</v>
      </c>
      <c r="K59">
        <v>1</v>
      </c>
      <c r="L59" s="2">
        <v>2251.04</v>
      </c>
      <c r="M59" s="2">
        <v>2251.04</v>
      </c>
      <c r="N59" t="s">
        <v>35</v>
      </c>
      <c r="O59" t="s">
        <v>23</v>
      </c>
    </row>
    <row r="60" spans="1:15">
      <c r="A60">
        <v>59</v>
      </c>
      <c r="B60" s="1">
        <v>45877</v>
      </c>
      <c r="C60">
        <v>2025</v>
      </c>
      <c r="D60" t="s">
        <v>47</v>
      </c>
      <c r="E60" t="s">
        <v>104</v>
      </c>
      <c r="F60" t="s">
        <v>17</v>
      </c>
      <c r="G60" t="s">
        <v>38</v>
      </c>
      <c r="H60" t="s">
        <v>19</v>
      </c>
      <c r="I60" t="s">
        <v>39</v>
      </c>
      <c r="J60" t="s">
        <v>76</v>
      </c>
      <c r="K60">
        <v>5</v>
      </c>
      <c r="L60" s="2">
        <v>131.28</v>
      </c>
      <c r="M60" s="2">
        <v>656.4</v>
      </c>
      <c r="N60" t="s">
        <v>22</v>
      </c>
      <c r="O60" t="s">
        <v>70</v>
      </c>
    </row>
    <row r="61" spans="1:15">
      <c r="A61">
        <v>60</v>
      </c>
      <c r="B61" s="1">
        <v>45983</v>
      </c>
      <c r="C61">
        <v>2025</v>
      </c>
      <c r="D61" t="s">
        <v>15</v>
      </c>
      <c r="E61" t="s">
        <v>115</v>
      </c>
      <c r="F61" t="s">
        <v>79</v>
      </c>
      <c r="G61" t="s">
        <v>33</v>
      </c>
      <c r="H61" t="s">
        <v>49</v>
      </c>
      <c r="I61" t="s">
        <v>57</v>
      </c>
      <c r="J61" t="s">
        <v>58</v>
      </c>
      <c r="K61">
        <v>4</v>
      </c>
      <c r="L61" s="2">
        <v>1248.52</v>
      </c>
      <c r="M61" s="2">
        <v>4994.08</v>
      </c>
      <c r="N61" t="s">
        <v>22</v>
      </c>
      <c r="O61" t="s">
        <v>23</v>
      </c>
    </row>
    <row r="62" spans="1:15">
      <c r="A62">
        <v>61</v>
      </c>
      <c r="B62" s="1">
        <v>45961</v>
      </c>
      <c r="C62">
        <v>2025</v>
      </c>
      <c r="D62" t="s">
        <v>65</v>
      </c>
      <c r="E62" t="s">
        <v>59</v>
      </c>
      <c r="F62" t="s">
        <v>26</v>
      </c>
      <c r="G62" t="s">
        <v>38</v>
      </c>
      <c r="H62" t="s">
        <v>45</v>
      </c>
      <c r="I62" t="s">
        <v>39</v>
      </c>
      <c r="J62" t="s">
        <v>40</v>
      </c>
      <c r="K62">
        <v>2</v>
      </c>
      <c r="L62" s="2">
        <v>227.69</v>
      </c>
      <c r="M62" s="2">
        <v>455.38</v>
      </c>
      <c r="N62" t="s">
        <v>22</v>
      </c>
      <c r="O62" t="s">
        <v>23</v>
      </c>
    </row>
    <row r="63" spans="1:15">
      <c r="A63">
        <v>62</v>
      </c>
      <c r="B63" s="1">
        <v>46000</v>
      </c>
      <c r="C63">
        <v>2025</v>
      </c>
      <c r="D63" t="s">
        <v>71</v>
      </c>
      <c r="E63" t="s">
        <v>116</v>
      </c>
      <c r="F63" t="s">
        <v>26</v>
      </c>
      <c r="G63" t="s">
        <v>80</v>
      </c>
      <c r="H63" t="s">
        <v>54</v>
      </c>
      <c r="I63" t="s">
        <v>57</v>
      </c>
      <c r="J63" t="s">
        <v>110</v>
      </c>
      <c r="K63">
        <v>1</v>
      </c>
      <c r="L63" s="2">
        <v>1897.7</v>
      </c>
      <c r="M63" s="2">
        <v>1897.7</v>
      </c>
      <c r="N63" t="s">
        <v>41</v>
      </c>
      <c r="O63" t="s">
        <v>23</v>
      </c>
    </row>
    <row r="64" spans="1:15">
      <c r="A64">
        <v>63</v>
      </c>
      <c r="B64" s="1">
        <v>45963</v>
      </c>
      <c r="C64">
        <v>2025</v>
      </c>
      <c r="D64" t="s">
        <v>15</v>
      </c>
      <c r="E64" t="s">
        <v>59</v>
      </c>
      <c r="F64" t="s">
        <v>26</v>
      </c>
      <c r="G64" t="s">
        <v>38</v>
      </c>
      <c r="H64" t="s">
        <v>73</v>
      </c>
      <c r="I64" t="s">
        <v>39</v>
      </c>
      <c r="J64" t="s">
        <v>76</v>
      </c>
      <c r="K64">
        <v>5</v>
      </c>
      <c r="L64" s="2">
        <v>135.94</v>
      </c>
      <c r="M64" s="2">
        <v>679.7</v>
      </c>
      <c r="N64" t="s">
        <v>30</v>
      </c>
      <c r="O64" t="s">
        <v>23</v>
      </c>
    </row>
    <row r="65" spans="1:15">
      <c r="A65">
        <v>64</v>
      </c>
      <c r="B65" s="1">
        <v>45988</v>
      </c>
      <c r="C65">
        <v>2025</v>
      </c>
      <c r="D65" t="s">
        <v>15</v>
      </c>
      <c r="E65" t="s">
        <v>43</v>
      </c>
      <c r="F65" t="s">
        <v>26</v>
      </c>
      <c r="G65" t="s">
        <v>80</v>
      </c>
      <c r="H65" t="s">
        <v>90</v>
      </c>
      <c r="I65" t="s">
        <v>57</v>
      </c>
      <c r="J65" t="s">
        <v>113</v>
      </c>
      <c r="K65">
        <v>1</v>
      </c>
      <c r="L65" s="2">
        <v>2186.73</v>
      </c>
      <c r="M65" s="2">
        <v>2186.73</v>
      </c>
      <c r="N65" t="s">
        <v>41</v>
      </c>
      <c r="O65" t="s">
        <v>23</v>
      </c>
    </row>
    <row r="66" spans="1:15">
      <c r="A66">
        <v>65</v>
      </c>
      <c r="B66" s="1">
        <v>45929</v>
      </c>
      <c r="C66">
        <v>2025</v>
      </c>
      <c r="D66" t="s">
        <v>69</v>
      </c>
      <c r="E66" t="s">
        <v>103</v>
      </c>
      <c r="F66" t="s">
        <v>26</v>
      </c>
      <c r="G66" t="s">
        <v>33</v>
      </c>
      <c r="H66" t="s">
        <v>90</v>
      </c>
      <c r="I66" t="s">
        <v>39</v>
      </c>
      <c r="J66" t="s">
        <v>85</v>
      </c>
      <c r="K66">
        <v>5</v>
      </c>
      <c r="L66" s="2">
        <v>273.33</v>
      </c>
      <c r="M66" s="2">
        <v>1366.65</v>
      </c>
      <c r="N66" t="s">
        <v>30</v>
      </c>
      <c r="O66" t="s">
        <v>23</v>
      </c>
    </row>
    <row r="67" spans="1:15">
      <c r="A67">
        <v>66</v>
      </c>
      <c r="B67" s="1">
        <v>45756</v>
      </c>
      <c r="C67">
        <v>2025</v>
      </c>
      <c r="D67" t="s">
        <v>86</v>
      </c>
      <c r="E67" t="s">
        <v>103</v>
      </c>
      <c r="F67" t="s">
        <v>26</v>
      </c>
      <c r="G67" t="s">
        <v>80</v>
      </c>
      <c r="H67" t="s">
        <v>73</v>
      </c>
      <c r="I67" t="s">
        <v>39</v>
      </c>
      <c r="J67" t="s">
        <v>76</v>
      </c>
      <c r="K67">
        <v>5</v>
      </c>
      <c r="L67" s="2">
        <v>135.97999999999999</v>
      </c>
      <c r="M67" s="2">
        <v>679.9</v>
      </c>
      <c r="N67" t="s">
        <v>41</v>
      </c>
      <c r="O67" t="s">
        <v>23</v>
      </c>
    </row>
    <row r="68" spans="1:15">
      <c r="A68">
        <v>67</v>
      </c>
      <c r="B68" s="1">
        <v>45926</v>
      </c>
      <c r="C68">
        <v>2025</v>
      </c>
      <c r="D68" t="s">
        <v>69</v>
      </c>
      <c r="E68" t="s">
        <v>105</v>
      </c>
      <c r="F68" t="s">
        <v>26</v>
      </c>
      <c r="G68" t="s">
        <v>80</v>
      </c>
      <c r="H68" t="s">
        <v>90</v>
      </c>
      <c r="I68" t="s">
        <v>63</v>
      </c>
      <c r="J68" t="s">
        <v>89</v>
      </c>
      <c r="K68">
        <v>1</v>
      </c>
      <c r="L68" s="2">
        <v>3326.69</v>
      </c>
      <c r="M68" s="2">
        <v>3326.69</v>
      </c>
      <c r="N68" t="s">
        <v>35</v>
      </c>
      <c r="O68" t="s">
        <v>23</v>
      </c>
    </row>
    <row r="69" spans="1:15">
      <c r="A69">
        <v>68</v>
      </c>
      <c r="B69" s="1">
        <v>45722</v>
      </c>
      <c r="C69">
        <v>2025</v>
      </c>
      <c r="D69" t="s">
        <v>81</v>
      </c>
      <c r="E69" t="s">
        <v>103</v>
      </c>
      <c r="F69" t="s">
        <v>79</v>
      </c>
      <c r="G69" t="s">
        <v>38</v>
      </c>
      <c r="H69" t="s">
        <v>19</v>
      </c>
      <c r="I69" t="s">
        <v>39</v>
      </c>
      <c r="J69" t="s">
        <v>76</v>
      </c>
      <c r="K69">
        <v>1</v>
      </c>
      <c r="L69" s="2">
        <v>129.83000000000001</v>
      </c>
      <c r="M69" s="2">
        <v>129.83000000000001</v>
      </c>
      <c r="N69" t="s">
        <v>35</v>
      </c>
      <c r="O69" t="s">
        <v>23</v>
      </c>
    </row>
    <row r="70" spans="1:15">
      <c r="A70">
        <v>69</v>
      </c>
      <c r="B70" s="1">
        <v>45898</v>
      </c>
      <c r="C70">
        <v>2025</v>
      </c>
      <c r="D70" t="s">
        <v>47</v>
      </c>
      <c r="E70" t="s">
        <v>117</v>
      </c>
      <c r="F70" t="s">
        <v>26</v>
      </c>
      <c r="G70" t="s">
        <v>38</v>
      </c>
      <c r="H70" t="s">
        <v>19</v>
      </c>
      <c r="I70" t="s">
        <v>57</v>
      </c>
      <c r="J70" t="s">
        <v>113</v>
      </c>
      <c r="K70">
        <v>3</v>
      </c>
      <c r="L70" s="2">
        <v>2211.92</v>
      </c>
      <c r="M70" s="2">
        <v>6635.76</v>
      </c>
      <c r="N70" t="s">
        <v>35</v>
      </c>
      <c r="O70" t="s">
        <v>23</v>
      </c>
    </row>
    <row r="71" spans="1:15">
      <c r="A71">
        <v>70</v>
      </c>
      <c r="B71" s="1">
        <v>45695</v>
      </c>
      <c r="C71">
        <v>2025</v>
      </c>
      <c r="D71" t="s">
        <v>24</v>
      </c>
      <c r="E71" t="s">
        <v>87</v>
      </c>
      <c r="F71" t="s">
        <v>79</v>
      </c>
      <c r="G71" t="s">
        <v>44</v>
      </c>
      <c r="H71" t="s">
        <v>45</v>
      </c>
      <c r="I71" t="s">
        <v>63</v>
      </c>
      <c r="J71" t="s">
        <v>64</v>
      </c>
      <c r="K71">
        <v>2</v>
      </c>
      <c r="L71" s="2">
        <v>1148.53</v>
      </c>
      <c r="M71" s="2">
        <v>2297.06</v>
      </c>
      <c r="N71" t="s">
        <v>35</v>
      </c>
      <c r="O71" t="s">
        <v>23</v>
      </c>
    </row>
    <row r="72" spans="1:15">
      <c r="A72">
        <v>71</v>
      </c>
      <c r="B72" s="1">
        <v>45871</v>
      </c>
      <c r="C72">
        <v>2025</v>
      </c>
      <c r="D72" t="s">
        <v>47</v>
      </c>
      <c r="E72" t="s">
        <v>108</v>
      </c>
      <c r="F72" t="s">
        <v>26</v>
      </c>
      <c r="G72" t="s">
        <v>18</v>
      </c>
      <c r="H72" t="s">
        <v>27</v>
      </c>
      <c r="I72" t="s">
        <v>63</v>
      </c>
      <c r="J72" t="s">
        <v>95</v>
      </c>
      <c r="K72">
        <v>5</v>
      </c>
      <c r="L72" s="2">
        <v>1970.31</v>
      </c>
      <c r="M72" s="2">
        <v>9851.5499999999993</v>
      </c>
      <c r="N72" t="s">
        <v>41</v>
      </c>
      <c r="O72" t="s">
        <v>23</v>
      </c>
    </row>
    <row r="73" spans="1:15">
      <c r="A73">
        <v>72</v>
      </c>
      <c r="B73" s="1">
        <v>45688</v>
      </c>
      <c r="C73">
        <v>2025</v>
      </c>
      <c r="D73" t="s">
        <v>52</v>
      </c>
      <c r="E73" t="s">
        <v>100</v>
      </c>
      <c r="F73" t="s">
        <v>17</v>
      </c>
      <c r="G73" t="s">
        <v>80</v>
      </c>
      <c r="H73" t="s">
        <v>45</v>
      </c>
      <c r="I73" t="s">
        <v>63</v>
      </c>
      <c r="J73" t="s">
        <v>64</v>
      </c>
      <c r="K73">
        <v>2</v>
      </c>
      <c r="L73" s="2">
        <v>1217.06</v>
      </c>
      <c r="M73" s="2">
        <v>2434.12</v>
      </c>
      <c r="N73" t="s">
        <v>30</v>
      </c>
      <c r="O73" t="s">
        <v>23</v>
      </c>
    </row>
    <row r="74" spans="1:15">
      <c r="A74">
        <v>73</v>
      </c>
      <c r="B74" s="1">
        <v>45738</v>
      </c>
      <c r="C74">
        <v>2025</v>
      </c>
      <c r="D74" t="s">
        <v>81</v>
      </c>
      <c r="E74" t="s">
        <v>118</v>
      </c>
      <c r="F74" t="s">
        <v>26</v>
      </c>
      <c r="G74" t="s">
        <v>80</v>
      </c>
      <c r="H74" t="s">
        <v>90</v>
      </c>
      <c r="I74" t="s">
        <v>20</v>
      </c>
      <c r="J74" t="s">
        <v>93</v>
      </c>
      <c r="K74">
        <v>4</v>
      </c>
      <c r="L74" s="2">
        <v>1021.7</v>
      </c>
      <c r="M74" s="2">
        <v>4086.8</v>
      </c>
      <c r="N74" t="s">
        <v>41</v>
      </c>
      <c r="O74" t="s">
        <v>23</v>
      </c>
    </row>
    <row r="75" spans="1:15">
      <c r="A75">
        <v>74</v>
      </c>
      <c r="B75" s="1">
        <v>45890</v>
      </c>
      <c r="C75">
        <v>2025</v>
      </c>
      <c r="D75" t="s">
        <v>47</v>
      </c>
      <c r="E75" t="s">
        <v>119</v>
      </c>
      <c r="F75" t="s">
        <v>17</v>
      </c>
      <c r="G75" t="s">
        <v>80</v>
      </c>
      <c r="H75" t="s">
        <v>27</v>
      </c>
      <c r="I75" t="s">
        <v>20</v>
      </c>
      <c r="J75" t="s">
        <v>34</v>
      </c>
      <c r="K75">
        <v>3</v>
      </c>
      <c r="L75" s="2">
        <v>2274.9499999999998</v>
      </c>
      <c r="M75" s="2">
        <v>6824.85</v>
      </c>
      <c r="N75" t="s">
        <v>35</v>
      </c>
      <c r="O75" t="s">
        <v>23</v>
      </c>
    </row>
    <row r="76" spans="1:15">
      <c r="A76">
        <v>75</v>
      </c>
      <c r="B76" s="1">
        <v>45989</v>
      </c>
      <c r="C76">
        <v>2025</v>
      </c>
      <c r="D76" t="s">
        <v>15</v>
      </c>
      <c r="E76" t="s">
        <v>66</v>
      </c>
      <c r="F76" t="s">
        <v>17</v>
      </c>
      <c r="G76" t="s">
        <v>18</v>
      </c>
      <c r="H76" t="s">
        <v>49</v>
      </c>
      <c r="I76" t="s">
        <v>28</v>
      </c>
      <c r="J76" t="s">
        <v>74</v>
      </c>
      <c r="K76">
        <v>2</v>
      </c>
      <c r="L76" s="2">
        <v>4267.6099999999997</v>
      </c>
      <c r="M76" s="2">
        <v>8535.2199999999993</v>
      </c>
      <c r="N76" t="s">
        <v>41</v>
      </c>
      <c r="O76" t="s">
        <v>23</v>
      </c>
    </row>
    <row r="77" spans="1:15">
      <c r="A77">
        <v>76</v>
      </c>
      <c r="B77" s="1">
        <v>45897</v>
      </c>
      <c r="C77">
        <v>2025</v>
      </c>
      <c r="D77" t="s">
        <v>47</v>
      </c>
      <c r="E77" t="s">
        <v>83</v>
      </c>
      <c r="F77" t="s">
        <v>26</v>
      </c>
      <c r="G77" t="s">
        <v>18</v>
      </c>
      <c r="H77" t="s">
        <v>62</v>
      </c>
      <c r="I77" t="s">
        <v>39</v>
      </c>
      <c r="J77" t="s">
        <v>85</v>
      </c>
      <c r="K77">
        <v>3</v>
      </c>
      <c r="L77" s="2">
        <v>279.02</v>
      </c>
      <c r="M77" s="2">
        <v>837.06</v>
      </c>
      <c r="N77" t="s">
        <v>22</v>
      </c>
      <c r="O77" t="s">
        <v>23</v>
      </c>
    </row>
    <row r="78" spans="1:15">
      <c r="A78">
        <v>77</v>
      </c>
      <c r="B78" s="1">
        <v>45967</v>
      </c>
      <c r="C78">
        <v>2025</v>
      </c>
      <c r="D78" t="s">
        <v>15</v>
      </c>
      <c r="E78" t="s">
        <v>120</v>
      </c>
      <c r="F78" t="s">
        <v>17</v>
      </c>
      <c r="G78" t="s">
        <v>18</v>
      </c>
      <c r="H78" t="s">
        <v>49</v>
      </c>
      <c r="I78" t="s">
        <v>39</v>
      </c>
      <c r="J78" t="s">
        <v>76</v>
      </c>
      <c r="K78">
        <v>1</v>
      </c>
      <c r="L78" s="2">
        <v>124.8</v>
      </c>
      <c r="M78" s="2">
        <v>124.8</v>
      </c>
      <c r="N78" t="s">
        <v>35</v>
      </c>
      <c r="O78" t="s">
        <v>70</v>
      </c>
    </row>
    <row r="79" spans="1:15">
      <c r="A79">
        <v>78</v>
      </c>
      <c r="B79" s="1">
        <v>46002</v>
      </c>
      <c r="C79">
        <v>2025</v>
      </c>
      <c r="D79" t="s">
        <v>71</v>
      </c>
      <c r="E79" t="s">
        <v>72</v>
      </c>
      <c r="F79" t="s">
        <v>26</v>
      </c>
      <c r="G79" t="s">
        <v>33</v>
      </c>
      <c r="H79" t="s">
        <v>60</v>
      </c>
      <c r="I79" t="s">
        <v>39</v>
      </c>
      <c r="J79" t="s">
        <v>76</v>
      </c>
      <c r="K79">
        <v>2</v>
      </c>
      <c r="L79" s="2">
        <v>128.54</v>
      </c>
      <c r="M79" s="2">
        <v>257.08</v>
      </c>
      <c r="N79" t="s">
        <v>22</v>
      </c>
      <c r="O79" t="s">
        <v>23</v>
      </c>
    </row>
    <row r="80" spans="1:15">
      <c r="A80">
        <v>79</v>
      </c>
      <c r="B80" s="1">
        <v>45909</v>
      </c>
      <c r="C80">
        <v>2025</v>
      </c>
      <c r="D80" t="s">
        <v>69</v>
      </c>
      <c r="E80" t="s">
        <v>116</v>
      </c>
      <c r="F80" t="s">
        <v>17</v>
      </c>
      <c r="G80" t="s">
        <v>80</v>
      </c>
      <c r="H80" t="s">
        <v>54</v>
      </c>
      <c r="I80" t="s">
        <v>20</v>
      </c>
      <c r="J80" t="s">
        <v>93</v>
      </c>
      <c r="K80">
        <v>3</v>
      </c>
      <c r="L80" s="2">
        <v>988.01</v>
      </c>
      <c r="M80" s="2">
        <v>2964.03</v>
      </c>
      <c r="N80" t="s">
        <v>22</v>
      </c>
      <c r="O80" t="s">
        <v>23</v>
      </c>
    </row>
    <row r="81" spans="1:15">
      <c r="A81">
        <v>80</v>
      </c>
      <c r="B81" s="1">
        <v>45805</v>
      </c>
      <c r="C81">
        <v>2025</v>
      </c>
      <c r="D81" t="s">
        <v>31</v>
      </c>
      <c r="E81" t="s">
        <v>100</v>
      </c>
      <c r="F81" t="s">
        <v>26</v>
      </c>
      <c r="G81" t="s">
        <v>38</v>
      </c>
      <c r="H81" t="s">
        <v>67</v>
      </c>
      <c r="I81" t="s">
        <v>57</v>
      </c>
      <c r="J81" t="s">
        <v>98</v>
      </c>
      <c r="K81">
        <v>4</v>
      </c>
      <c r="L81" s="2">
        <v>854.56</v>
      </c>
      <c r="M81" s="2">
        <v>3418.24</v>
      </c>
      <c r="N81" t="s">
        <v>35</v>
      </c>
      <c r="O81" t="s">
        <v>23</v>
      </c>
    </row>
    <row r="82" spans="1:15">
      <c r="A82">
        <v>81</v>
      </c>
      <c r="B82" s="1">
        <v>45935</v>
      </c>
      <c r="C82">
        <v>2025</v>
      </c>
      <c r="D82" t="s">
        <v>65</v>
      </c>
      <c r="E82" t="s">
        <v>121</v>
      </c>
      <c r="F82" t="s">
        <v>17</v>
      </c>
      <c r="G82" t="s">
        <v>38</v>
      </c>
      <c r="H82" t="s">
        <v>73</v>
      </c>
      <c r="I82" t="s">
        <v>57</v>
      </c>
      <c r="J82" t="s">
        <v>113</v>
      </c>
      <c r="K82">
        <v>1</v>
      </c>
      <c r="L82" s="2">
        <v>2212.81</v>
      </c>
      <c r="M82" s="2">
        <v>2212.81</v>
      </c>
      <c r="N82" t="s">
        <v>35</v>
      </c>
      <c r="O82" t="s">
        <v>23</v>
      </c>
    </row>
    <row r="83" spans="1:15">
      <c r="A83">
        <v>82</v>
      </c>
      <c r="B83" s="1">
        <v>45939</v>
      </c>
      <c r="C83">
        <v>2025</v>
      </c>
      <c r="D83" t="s">
        <v>65</v>
      </c>
      <c r="E83" t="s">
        <v>83</v>
      </c>
      <c r="F83" t="s">
        <v>26</v>
      </c>
      <c r="G83" t="s">
        <v>18</v>
      </c>
      <c r="H83" t="s">
        <v>45</v>
      </c>
      <c r="I83" t="s">
        <v>28</v>
      </c>
      <c r="J83" t="s">
        <v>74</v>
      </c>
      <c r="K83">
        <v>4</v>
      </c>
      <c r="L83" s="2">
        <v>4704.6099999999997</v>
      </c>
      <c r="M83" s="2">
        <v>18818.439999999999</v>
      </c>
      <c r="N83" t="s">
        <v>30</v>
      </c>
      <c r="O83" t="s">
        <v>23</v>
      </c>
    </row>
    <row r="84" spans="1:15">
      <c r="A84">
        <v>83</v>
      </c>
      <c r="B84" s="1">
        <v>45665</v>
      </c>
      <c r="C84">
        <v>2025</v>
      </c>
      <c r="D84" t="s">
        <v>52</v>
      </c>
      <c r="E84" t="s">
        <v>122</v>
      </c>
      <c r="F84" t="s">
        <v>79</v>
      </c>
      <c r="G84" t="s">
        <v>38</v>
      </c>
      <c r="H84" t="s">
        <v>19</v>
      </c>
      <c r="I84" t="s">
        <v>63</v>
      </c>
      <c r="J84" t="s">
        <v>109</v>
      </c>
      <c r="K84">
        <v>1</v>
      </c>
      <c r="L84" s="2">
        <v>772.6</v>
      </c>
      <c r="M84" s="2">
        <v>772.6</v>
      </c>
      <c r="N84" t="s">
        <v>30</v>
      </c>
      <c r="O84" t="s">
        <v>23</v>
      </c>
    </row>
    <row r="85" spans="1:15">
      <c r="A85">
        <v>84</v>
      </c>
      <c r="B85" s="1">
        <v>45807</v>
      </c>
      <c r="C85">
        <v>2025</v>
      </c>
      <c r="D85" t="s">
        <v>31</v>
      </c>
      <c r="E85" t="s">
        <v>118</v>
      </c>
      <c r="F85" t="s">
        <v>26</v>
      </c>
      <c r="G85" t="s">
        <v>18</v>
      </c>
      <c r="H85" t="s">
        <v>60</v>
      </c>
      <c r="I85" t="s">
        <v>63</v>
      </c>
      <c r="J85" t="s">
        <v>89</v>
      </c>
      <c r="K85">
        <v>4</v>
      </c>
      <c r="L85" s="2">
        <v>3327.49</v>
      </c>
      <c r="M85" s="2">
        <v>13309.96</v>
      </c>
      <c r="N85" t="s">
        <v>22</v>
      </c>
      <c r="O85" t="s">
        <v>23</v>
      </c>
    </row>
    <row r="86" spans="1:15">
      <c r="A86">
        <v>85</v>
      </c>
      <c r="B86" s="1">
        <v>45964</v>
      </c>
      <c r="C86">
        <v>2025</v>
      </c>
      <c r="D86" t="s">
        <v>15</v>
      </c>
      <c r="E86" t="s">
        <v>123</v>
      </c>
      <c r="F86" t="s">
        <v>79</v>
      </c>
      <c r="G86" t="s">
        <v>33</v>
      </c>
      <c r="H86" t="s">
        <v>67</v>
      </c>
      <c r="I86" t="s">
        <v>63</v>
      </c>
      <c r="J86" t="s">
        <v>95</v>
      </c>
      <c r="K86">
        <v>1</v>
      </c>
      <c r="L86" s="2">
        <v>1945.33</v>
      </c>
      <c r="M86" s="2">
        <v>1945.33</v>
      </c>
      <c r="N86" t="s">
        <v>41</v>
      </c>
      <c r="O86" t="s">
        <v>42</v>
      </c>
    </row>
    <row r="87" spans="1:15">
      <c r="A87">
        <v>86</v>
      </c>
      <c r="B87" s="1">
        <v>45802</v>
      </c>
      <c r="C87">
        <v>2025</v>
      </c>
      <c r="D87" t="s">
        <v>31</v>
      </c>
      <c r="E87" t="s">
        <v>118</v>
      </c>
      <c r="F87" t="s">
        <v>26</v>
      </c>
      <c r="G87" t="s">
        <v>18</v>
      </c>
      <c r="H87" t="s">
        <v>67</v>
      </c>
      <c r="I87" t="s">
        <v>39</v>
      </c>
      <c r="J87" t="s">
        <v>85</v>
      </c>
      <c r="K87">
        <v>2</v>
      </c>
      <c r="L87" s="2">
        <v>277.20999999999998</v>
      </c>
      <c r="M87" s="2">
        <v>554.41999999999996</v>
      </c>
      <c r="N87" t="s">
        <v>22</v>
      </c>
      <c r="O87" t="s">
        <v>23</v>
      </c>
    </row>
    <row r="88" spans="1:15">
      <c r="A88">
        <v>87</v>
      </c>
      <c r="B88" s="1">
        <v>45822</v>
      </c>
      <c r="C88">
        <v>2025</v>
      </c>
      <c r="D88" t="s">
        <v>101</v>
      </c>
      <c r="E88" t="s">
        <v>124</v>
      </c>
      <c r="F88" t="s">
        <v>17</v>
      </c>
      <c r="G88" t="s">
        <v>44</v>
      </c>
      <c r="H88" t="s">
        <v>54</v>
      </c>
      <c r="I88" t="s">
        <v>28</v>
      </c>
      <c r="J88" t="s">
        <v>29</v>
      </c>
      <c r="K88">
        <v>5</v>
      </c>
      <c r="L88" s="2">
        <v>5224.58</v>
      </c>
      <c r="M88" s="2">
        <v>26122.9</v>
      </c>
      <c r="N88" t="s">
        <v>22</v>
      </c>
      <c r="O88" t="s">
        <v>23</v>
      </c>
    </row>
    <row r="89" spans="1:15">
      <c r="A89">
        <v>88</v>
      </c>
      <c r="B89" s="1">
        <v>45853</v>
      </c>
      <c r="C89">
        <v>2025</v>
      </c>
      <c r="D89" t="s">
        <v>36</v>
      </c>
      <c r="E89" t="s">
        <v>16</v>
      </c>
      <c r="F89" t="s">
        <v>26</v>
      </c>
      <c r="G89" t="s">
        <v>18</v>
      </c>
      <c r="H89" t="s">
        <v>54</v>
      </c>
      <c r="I89" t="s">
        <v>57</v>
      </c>
      <c r="J89" t="s">
        <v>58</v>
      </c>
      <c r="K89">
        <v>4</v>
      </c>
      <c r="L89" s="2">
        <v>1371.46</v>
      </c>
      <c r="M89" s="2">
        <v>5485.84</v>
      </c>
      <c r="N89" t="s">
        <v>35</v>
      </c>
      <c r="O89" t="s">
        <v>42</v>
      </c>
    </row>
    <row r="90" spans="1:15">
      <c r="A90">
        <v>89</v>
      </c>
      <c r="B90" s="1">
        <v>45883</v>
      </c>
      <c r="C90">
        <v>2025</v>
      </c>
      <c r="D90" t="s">
        <v>47</v>
      </c>
      <c r="E90" t="s">
        <v>96</v>
      </c>
      <c r="F90" t="s">
        <v>79</v>
      </c>
      <c r="G90" t="s">
        <v>80</v>
      </c>
      <c r="H90" t="s">
        <v>19</v>
      </c>
      <c r="I90" t="s">
        <v>20</v>
      </c>
      <c r="J90" t="s">
        <v>93</v>
      </c>
      <c r="K90">
        <v>1</v>
      </c>
      <c r="L90" s="2">
        <v>1025.67</v>
      </c>
      <c r="M90" s="2">
        <v>1025.67</v>
      </c>
      <c r="N90" t="s">
        <v>22</v>
      </c>
      <c r="O90" t="s">
        <v>23</v>
      </c>
    </row>
    <row r="91" spans="1:15">
      <c r="A91">
        <v>90</v>
      </c>
      <c r="B91" s="1">
        <v>45793</v>
      </c>
      <c r="C91">
        <v>2025</v>
      </c>
      <c r="D91" t="s">
        <v>31</v>
      </c>
      <c r="E91" t="s">
        <v>124</v>
      </c>
      <c r="F91" t="s">
        <v>17</v>
      </c>
      <c r="G91" t="s">
        <v>18</v>
      </c>
      <c r="H91" t="s">
        <v>27</v>
      </c>
      <c r="I91" t="s">
        <v>39</v>
      </c>
      <c r="J91" t="s">
        <v>85</v>
      </c>
      <c r="K91">
        <v>1</v>
      </c>
      <c r="L91" s="2">
        <v>290.77999999999997</v>
      </c>
      <c r="M91" s="2">
        <v>290.77999999999997</v>
      </c>
      <c r="N91" t="s">
        <v>41</v>
      </c>
      <c r="O91" t="s">
        <v>23</v>
      </c>
    </row>
    <row r="92" spans="1:15">
      <c r="A92">
        <v>91</v>
      </c>
      <c r="B92" s="1">
        <v>45907</v>
      </c>
      <c r="C92">
        <v>2025</v>
      </c>
      <c r="D92" t="s">
        <v>69</v>
      </c>
      <c r="E92" t="s">
        <v>119</v>
      </c>
      <c r="F92" t="s">
        <v>17</v>
      </c>
      <c r="G92" t="s">
        <v>33</v>
      </c>
      <c r="H92" t="s">
        <v>45</v>
      </c>
      <c r="I92" t="s">
        <v>63</v>
      </c>
      <c r="J92" t="s">
        <v>64</v>
      </c>
      <c r="K92">
        <v>5</v>
      </c>
      <c r="L92" s="2">
        <v>1136.9000000000001</v>
      </c>
      <c r="M92" s="2">
        <v>5684.5</v>
      </c>
      <c r="N92" t="s">
        <v>35</v>
      </c>
      <c r="O92" t="s">
        <v>23</v>
      </c>
    </row>
    <row r="93" spans="1:15">
      <c r="A93">
        <v>92</v>
      </c>
      <c r="B93" s="1">
        <v>45708</v>
      </c>
      <c r="C93">
        <v>2025</v>
      </c>
      <c r="D93" t="s">
        <v>24</v>
      </c>
      <c r="E93" t="s">
        <v>111</v>
      </c>
      <c r="F93" t="s">
        <v>26</v>
      </c>
      <c r="G93" t="s">
        <v>33</v>
      </c>
      <c r="H93" t="s">
        <v>62</v>
      </c>
      <c r="I93" t="s">
        <v>20</v>
      </c>
      <c r="J93" t="s">
        <v>93</v>
      </c>
      <c r="K93">
        <v>2</v>
      </c>
      <c r="L93" s="2">
        <v>1022.26</v>
      </c>
      <c r="M93" s="2">
        <v>2044.52</v>
      </c>
      <c r="N93" t="s">
        <v>41</v>
      </c>
      <c r="O93" t="s">
        <v>23</v>
      </c>
    </row>
    <row r="94" spans="1:15">
      <c r="A94">
        <v>93</v>
      </c>
      <c r="B94" s="1">
        <v>45878</v>
      </c>
      <c r="C94">
        <v>2025</v>
      </c>
      <c r="D94" t="s">
        <v>47</v>
      </c>
      <c r="E94" t="s">
        <v>120</v>
      </c>
      <c r="F94" t="s">
        <v>17</v>
      </c>
      <c r="G94" t="s">
        <v>80</v>
      </c>
      <c r="H94" t="s">
        <v>60</v>
      </c>
      <c r="I94" t="s">
        <v>28</v>
      </c>
      <c r="J94" t="s">
        <v>29</v>
      </c>
      <c r="K94">
        <v>5</v>
      </c>
      <c r="L94" s="2">
        <v>5243.08</v>
      </c>
      <c r="M94" s="2">
        <v>26215.4</v>
      </c>
      <c r="N94" t="s">
        <v>35</v>
      </c>
      <c r="O94" t="s">
        <v>23</v>
      </c>
    </row>
    <row r="95" spans="1:15">
      <c r="A95">
        <v>94</v>
      </c>
      <c r="B95" s="1">
        <v>45853</v>
      </c>
      <c r="C95">
        <v>2025</v>
      </c>
      <c r="D95" t="s">
        <v>36</v>
      </c>
      <c r="E95" t="s">
        <v>32</v>
      </c>
      <c r="F95" t="s">
        <v>26</v>
      </c>
      <c r="G95" t="s">
        <v>33</v>
      </c>
      <c r="H95" t="s">
        <v>73</v>
      </c>
      <c r="I95" t="s">
        <v>63</v>
      </c>
      <c r="J95" t="s">
        <v>95</v>
      </c>
      <c r="K95">
        <v>4</v>
      </c>
      <c r="L95" s="2">
        <v>2098.0300000000002</v>
      </c>
      <c r="M95" s="2">
        <v>8392.1200000000008</v>
      </c>
      <c r="N95" t="s">
        <v>41</v>
      </c>
      <c r="O95" t="s">
        <v>23</v>
      </c>
    </row>
    <row r="96" spans="1:15">
      <c r="A96">
        <v>95</v>
      </c>
      <c r="B96" s="1">
        <v>45896</v>
      </c>
      <c r="C96">
        <v>2025</v>
      </c>
      <c r="D96" t="s">
        <v>47</v>
      </c>
      <c r="E96" t="s">
        <v>112</v>
      </c>
      <c r="F96" t="s">
        <v>79</v>
      </c>
      <c r="G96" t="s">
        <v>33</v>
      </c>
      <c r="H96" t="s">
        <v>27</v>
      </c>
      <c r="I96" t="s">
        <v>39</v>
      </c>
      <c r="J96" t="s">
        <v>46</v>
      </c>
      <c r="K96">
        <v>1</v>
      </c>
      <c r="L96" s="2">
        <v>346.56</v>
      </c>
      <c r="M96" s="2">
        <v>346.56</v>
      </c>
      <c r="N96" t="s">
        <v>41</v>
      </c>
      <c r="O96" t="s">
        <v>23</v>
      </c>
    </row>
    <row r="97" spans="1:15">
      <c r="A97">
        <v>96</v>
      </c>
      <c r="B97" s="1">
        <v>45812</v>
      </c>
      <c r="C97">
        <v>2025</v>
      </c>
      <c r="D97" t="s">
        <v>101</v>
      </c>
      <c r="E97" t="s">
        <v>125</v>
      </c>
      <c r="F97" t="s">
        <v>17</v>
      </c>
      <c r="G97" t="s">
        <v>18</v>
      </c>
      <c r="H97" t="s">
        <v>90</v>
      </c>
      <c r="I97" t="s">
        <v>28</v>
      </c>
      <c r="J97" t="s">
        <v>51</v>
      </c>
      <c r="K97">
        <v>4</v>
      </c>
      <c r="L97" s="2">
        <v>6668.64</v>
      </c>
      <c r="M97" s="2">
        <v>26674.560000000001</v>
      </c>
      <c r="N97" t="s">
        <v>41</v>
      </c>
      <c r="O97" t="s">
        <v>23</v>
      </c>
    </row>
    <row r="98" spans="1:15">
      <c r="A98">
        <v>97</v>
      </c>
      <c r="B98" s="1">
        <v>45995</v>
      </c>
      <c r="C98">
        <v>2025</v>
      </c>
      <c r="D98" t="s">
        <v>71</v>
      </c>
      <c r="E98" t="s">
        <v>120</v>
      </c>
      <c r="F98" t="s">
        <v>17</v>
      </c>
      <c r="G98" t="s">
        <v>44</v>
      </c>
      <c r="H98" t="s">
        <v>49</v>
      </c>
      <c r="I98" t="s">
        <v>57</v>
      </c>
      <c r="J98" t="s">
        <v>110</v>
      </c>
      <c r="K98">
        <v>1</v>
      </c>
      <c r="L98" s="2">
        <v>1914.02</v>
      </c>
      <c r="M98" s="2">
        <v>1914.02</v>
      </c>
      <c r="N98" t="s">
        <v>22</v>
      </c>
      <c r="O98" t="s">
        <v>42</v>
      </c>
    </row>
    <row r="99" spans="1:15">
      <c r="A99">
        <v>98</v>
      </c>
      <c r="B99" s="1">
        <v>45804</v>
      </c>
      <c r="C99">
        <v>2025</v>
      </c>
      <c r="D99" t="s">
        <v>31</v>
      </c>
      <c r="E99" t="s">
        <v>126</v>
      </c>
      <c r="F99" t="s">
        <v>26</v>
      </c>
      <c r="G99" t="s">
        <v>80</v>
      </c>
      <c r="H99" t="s">
        <v>19</v>
      </c>
      <c r="I99" t="s">
        <v>28</v>
      </c>
      <c r="J99" t="s">
        <v>74</v>
      </c>
      <c r="K99">
        <v>2</v>
      </c>
      <c r="L99" s="2">
        <v>4572.76</v>
      </c>
      <c r="M99" s="2">
        <v>9145.52</v>
      </c>
      <c r="N99" t="s">
        <v>35</v>
      </c>
      <c r="O99" t="s">
        <v>23</v>
      </c>
    </row>
    <row r="100" spans="1:15">
      <c r="A100">
        <v>99</v>
      </c>
      <c r="B100" s="1">
        <v>45883</v>
      </c>
      <c r="C100">
        <v>2025</v>
      </c>
      <c r="D100" t="s">
        <v>47</v>
      </c>
      <c r="E100" t="s">
        <v>105</v>
      </c>
      <c r="F100" t="s">
        <v>26</v>
      </c>
      <c r="G100" t="s">
        <v>38</v>
      </c>
      <c r="H100" t="s">
        <v>60</v>
      </c>
      <c r="I100" t="s">
        <v>20</v>
      </c>
      <c r="J100" t="s">
        <v>97</v>
      </c>
      <c r="K100">
        <v>2</v>
      </c>
      <c r="L100" s="2">
        <v>2851.5</v>
      </c>
      <c r="M100" s="2">
        <v>5703</v>
      </c>
      <c r="N100" t="s">
        <v>30</v>
      </c>
      <c r="O100" t="s">
        <v>23</v>
      </c>
    </row>
    <row r="101" spans="1:15">
      <c r="A101">
        <v>100</v>
      </c>
      <c r="B101" s="1">
        <v>45934</v>
      </c>
      <c r="C101">
        <v>2025</v>
      </c>
      <c r="D101" t="s">
        <v>65</v>
      </c>
      <c r="E101" t="s">
        <v>127</v>
      </c>
      <c r="F101" t="s">
        <v>79</v>
      </c>
      <c r="G101" t="s">
        <v>33</v>
      </c>
      <c r="H101" t="s">
        <v>54</v>
      </c>
      <c r="I101" t="s">
        <v>39</v>
      </c>
      <c r="J101" t="s">
        <v>40</v>
      </c>
      <c r="K101">
        <v>2</v>
      </c>
      <c r="L101" s="2">
        <v>212.61</v>
      </c>
      <c r="M101" s="2">
        <v>425.22</v>
      </c>
      <c r="N101" t="s">
        <v>35</v>
      </c>
      <c r="O101" t="s">
        <v>23</v>
      </c>
    </row>
    <row r="102" spans="1:15">
      <c r="A102">
        <v>101</v>
      </c>
      <c r="B102" s="1">
        <v>45696</v>
      </c>
      <c r="C102">
        <v>2025</v>
      </c>
      <c r="D102" t="s">
        <v>24</v>
      </c>
      <c r="E102" t="s">
        <v>78</v>
      </c>
      <c r="F102" t="s">
        <v>17</v>
      </c>
      <c r="G102" t="s">
        <v>44</v>
      </c>
      <c r="H102" t="s">
        <v>27</v>
      </c>
      <c r="I102" t="s">
        <v>28</v>
      </c>
      <c r="J102" t="s">
        <v>29</v>
      </c>
      <c r="K102">
        <v>4</v>
      </c>
      <c r="L102" s="2">
        <v>5596.13</v>
      </c>
      <c r="M102" s="2">
        <v>22384.52</v>
      </c>
      <c r="N102" t="s">
        <v>35</v>
      </c>
      <c r="O102" t="s">
        <v>23</v>
      </c>
    </row>
    <row r="103" spans="1:15">
      <c r="A103">
        <v>102</v>
      </c>
      <c r="B103" s="1">
        <v>45721</v>
      </c>
      <c r="C103">
        <v>2025</v>
      </c>
      <c r="D103" t="s">
        <v>81</v>
      </c>
      <c r="E103" t="s">
        <v>127</v>
      </c>
      <c r="F103" t="s">
        <v>17</v>
      </c>
      <c r="G103" t="s">
        <v>33</v>
      </c>
      <c r="H103" t="s">
        <v>19</v>
      </c>
      <c r="I103" t="s">
        <v>57</v>
      </c>
      <c r="J103" t="s">
        <v>110</v>
      </c>
      <c r="K103">
        <v>3</v>
      </c>
      <c r="L103" s="2">
        <v>1918.27</v>
      </c>
      <c r="M103" s="2">
        <v>5754.81</v>
      </c>
      <c r="N103" t="s">
        <v>30</v>
      </c>
      <c r="O103" t="s">
        <v>23</v>
      </c>
    </row>
    <row r="104" spans="1:15">
      <c r="A104">
        <v>103</v>
      </c>
      <c r="B104" s="1">
        <v>45975</v>
      </c>
      <c r="C104">
        <v>2025</v>
      </c>
      <c r="D104" t="s">
        <v>15</v>
      </c>
      <c r="E104" t="s">
        <v>53</v>
      </c>
      <c r="F104" t="s">
        <v>17</v>
      </c>
      <c r="G104" t="s">
        <v>38</v>
      </c>
      <c r="H104" t="s">
        <v>90</v>
      </c>
      <c r="I104" t="s">
        <v>63</v>
      </c>
      <c r="J104" t="s">
        <v>89</v>
      </c>
      <c r="K104">
        <v>5</v>
      </c>
      <c r="L104" s="2">
        <v>3092.04</v>
      </c>
      <c r="M104" s="2">
        <v>15460.2</v>
      </c>
      <c r="N104" t="s">
        <v>22</v>
      </c>
      <c r="O104" t="s">
        <v>23</v>
      </c>
    </row>
    <row r="105" spans="1:15">
      <c r="A105">
        <v>104</v>
      </c>
      <c r="B105" s="1">
        <v>45681</v>
      </c>
      <c r="C105">
        <v>2025</v>
      </c>
      <c r="D105" t="s">
        <v>52</v>
      </c>
      <c r="E105" t="s">
        <v>107</v>
      </c>
      <c r="F105" t="s">
        <v>79</v>
      </c>
      <c r="G105" t="s">
        <v>80</v>
      </c>
      <c r="H105" t="s">
        <v>27</v>
      </c>
      <c r="I105" t="s">
        <v>20</v>
      </c>
      <c r="J105" t="s">
        <v>97</v>
      </c>
      <c r="K105">
        <v>4</v>
      </c>
      <c r="L105" s="2">
        <v>2860.85</v>
      </c>
      <c r="M105" s="2">
        <v>11443.4</v>
      </c>
      <c r="N105" t="s">
        <v>22</v>
      </c>
      <c r="O105" t="s">
        <v>23</v>
      </c>
    </row>
    <row r="106" spans="1:15">
      <c r="A106">
        <v>105</v>
      </c>
      <c r="B106" s="1">
        <v>46014</v>
      </c>
      <c r="C106">
        <v>2025</v>
      </c>
      <c r="D106" t="s">
        <v>71</v>
      </c>
      <c r="E106" t="s">
        <v>32</v>
      </c>
      <c r="F106" t="s">
        <v>79</v>
      </c>
      <c r="G106" t="s">
        <v>44</v>
      </c>
      <c r="H106" t="s">
        <v>73</v>
      </c>
      <c r="I106" t="s">
        <v>63</v>
      </c>
      <c r="J106" t="s">
        <v>109</v>
      </c>
      <c r="K106">
        <v>5</v>
      </c>
      <c r="L106" s="2">
        <v>822.23</v>
      </c>
      <c r="M106" s="2">
        <v>4111.1499999999996</v>
      </c>
      <c r="N106" t="s">
        <v>22</v>
      </c>
      <c r="O106" t="s">
        <v>70</v>
      </c>
    </row>
    <row r="107" spans="1:15">
      <c r="A107">
        <v>106</v>
      </c>
      <c r="B107" s="1">
        <v>45801</v>
      </c>
      <c r="C107">
        <v>2025</v>
      </c>
      <c r="D107" t="s">
        <v>31</v>
      </c>
      <c r="E107" t="s">
        <v>107</v>
      </c>
      <c r="F107" t="s">
        <v>79</v>
      </c>
      <c r="G107" t="s">
        <v>44</v>
      </c>
      <c r="H107" t="s">
        <v>54</v>
      </c>
      <c r="I107" t="s">
        <v>20</v>
      </c>
      <c r="J107" t="s">
        <v>97</v>
      </c>
      <c r="K107">
        <v>2</v>
      </c>
      <c r="L107" s="2">
        <v>2978.62</v>
      </c>
      <c r="M107" s="2">
        <v>5957.24</v>
      </c>
      <c r="N107" t="s">
        <v>41</v>
      </c>
      <c r="O107" t="s">
        <v>23</v>
      </c>
    </row>
    <row r="108" spans="1:15">
      <c r="A108">
        <v>107</v>
      </c>
      <c r="B108" s="1">
        <v>45799</v>
      </c>
      <c r="C108">
        <v>2025</v>
      </c>
      <c r="D108" t="s">
        <v>31</v>
      </c>
      <c r="E108" t="s">
        <v>128</v>
      </c>
      <c r="F108" t="s">
        <v>17</v>
      </c>
      <c r="G108" t="s">
        <v>18</v>
      </c>
      <c r="H108" t="s">
        <v>62</v>
      </c>
      <c r="I108" t="s">
        <v>28</v>
      </c>
      <c r="J108" t="s">
        <v>55</v>
      </c>
      <c r="K108">
        <v>4</v>
      </c>
      <c r="L108" s="2">
        <v>3327.55</v>
      </c>
      <c r="M108" s="2">
        <v>13310.2</v>
      </c>
      <c r="N108" t="s">
        <v>35</v>
      </c>
      <c r="O108" t="s">
        <v>23</v>
      </c>
    </row>
    <row r="109" spans="1:15">
      <c r="A109">
        <v>108</v>
      </c>
      <c r="B109" s="1">
        <v>45782</v>
      </c>
      <c r="C109">
        <v>2025</v>
      </c>
      <c r="D109" t="s">
        <v>31</v>
      </c>
      <c r="E109" t="s">
        <v>25</v>
      </c>
      <c r="F109" t="s">
        <v>26</v>
      </c>
      <c r="G109" t="s">
        <v>80</v>
      </c>
      <c r="H109" t="s">
        <v>45</v>
      </c>
      <c r="I109" t="s">
        <v>28</v>
      </c>
      <c r="J109" t="s">
        <v>29</v>
      </c>
      <c r="K109">
        <v>1</v>
      </c>
      <c r="L109" s="2">
        <v>5508.72</v>
      </c>
      <c r="M109" s="2">
        <v>5508.72</v>
      </c>
      <c r="N109" t="s">
        <v>41</v>
      </c>
      <c r="O109" t="s">
        <v>23</v>
      </c>
    </row>
    <row r="110" spans="1:15">
      <c r="A110">
        <v>109</v>
      </c>
      <c r="B110" s="1">
        <v>45963</v>
      </c>
      <c r="C110">
        <v>2025</v>
      </c>
      <c r="D110" t="s">
        <v>15</v>
      </c>
      <c r="E110" t="s">
        <v>37</v>
      </c>
      <c r="F110" t="s">
        <v>26</v>
      </c>
      <c r="G110" t="s">
        <v>80</v>
      </c>
      <c r="H110" t="s">
        <v>19</v>
      </c>
      <c r="I110" t="s">
        <v>20</v>
      </c>
      <c r="J110" t="s">
        <v>97</v>
      </c>
      <c r="K110">
        <v>2</v>
      </c>
      <c r="L110" s="2">
        <v>3174.45</v>
      </c>
      <c r="M110" s="2">
        <v>6348.9</v>
      </c>
      <c r="N110" t="s">
        <v>35</v>
      </c>
      <c r="O110" t="s">
        <v>23</v>
      </c>
    </row>
    <row r="111" spans="1:15">
      <c r="A111">
        <v>110</v>
      </c>
      <c r="B111" s="1">
        <v>45841</v>
      </c>
      <c r="C111">
        <v>2025</v>
      </c>
      <c r="D111" t="s">
        <v>36</v>
      </c>
      <c r="E111" t="s">
        <v>117</v>
      </c>
      <c r="F111" t="s">
        <v>26</v>
      </c>
      <c r="G111" t="s">
        <v>38</v>
      </c>
      <c r="H111" t="s">
        <v>67</v>
      </c>
      <c r="I111" t="s">
        <v>28</v>
      </c>
      <c r="J111" t="s">
        <v>74</v>
      </c>
      <c r="K111">
        <v>1</v>
      </c>
      <c r="L111" s="2">
        <v>4323.13</v>
      </c>
      <c r="M111" s="2">
        <v>4323.13</v>
      </c>
      <c r="N111" t="s">
        <v>35</v>
      </c>
      <c r="O111" t="s">
        <v>23</v>
      </c>
    </row>
    <row r="112" spans="1:15">
      <c r="A112">
        <v>111</v>
      </c>
      <c r="B112" s="1">
        <v>45901</v>
      </c>
      <c r="C112">
        <v>2025</v>
      </c>
      <c r="D112" t="s">
        <v>69</v>
      </c>
      <c r="E112" t="s">
        <v>129</v>
      </c>
      <c r="F112" t="s">
        <v>26</v>
      </c>
      <c r="G112" t="s">
        <v>18</v>
      </c>
      <c r="H112" t="s">
        <v>62</v>
      </c>
      <c r="I112" t="s">
        <v>57</v>
      </c>
      <c r="J112" t="s">
        <v>110</v>
      </c>
      <c r="K112">
        <v>5</v>
      </c>
      <c r="L112" s="2">
        <v>1920.34</v>
      </c>
      <c r="M112" s="2">
        <v>9601.7000000000007</v>
      </c>
      <c r="N112" t="s">
        <v>41</v>
      </c>
      <c r="O112" t="s">
        <v>23</v>
      </c>
    </row>
    <row r="113" spans="1:15">
      <c r="A113">
        <v>112</v>
      </c>
      <c r="B113" s="1">
        <v>45673</v>
      </c>
      <c r="C113">
        <v>2025</v>
      </c>
      <c r="D113" t="s">
        <v>52</v>
      </c>
      <c r="E113" t="s">
        <v>114</v>
      </c>
      <c r="F113" t="s">
        <v>26</v>
      </c>
      <c r="G113" t="s">
        <v>38</v>
      </c>
      <c r="H113" t="s">
        <v>19</v>
      </c>
      <c r="I113" t="s">
        <v>20</v>
      </c>
      <c r="J113" t="s">
        <v>93</v>
      </c>
      <c r="K113">
        <v>4</v>
      </c>
      <c r="L113" s="2">
        <v>990.16</v>
      </c>
      <c r="M113" s="2">
        <v>3960.64</v>
      </c>
      <c r="N113" t="s">
        <v>35</v>
      </c>
      <c r="O113" t="s">
        <v>23</v>
      </c>
    </row>
    <row r="114" spans="1:15">
      <c r="A114">
        <v>113</v>
      </c>
      <c r="B114" s="1">
        <v>45733</v>
      </c>
      <c r="C114">
        <v>2025</v>
      </c>
      <c r="D114" t="s">
        <v>81</v>
      </c>
      <c r="E114" t="s">
        <v>75</v>
      </c>
      <c r="F114" t="s">
        <v>26</v>
      </c>
      <c r="G114" t="s">
        <v>33</v>
      </c>
      <c r="H114" t="s">
        <v>27</v>
      </c>
      <c r="I114" t="s">
        <v>20</v>
      </c>
      <c r="J114" t="s">
        <v>34</v>
      </c>
      <c r="K114">
        <v>3</v>
      </c>
      <c r="L114" s="2">
        <v>2231.8000000000002</v>
      </c>
      <c r="M114" s="2">
        <v>6695.4</v>
      </c>
      <c r="N114" t="s">
        <v>41</v>
      </c>
      <c r="O114" t="s">
        <v>23</v>
      </c>
    </row>
    <row r="115" spans="1:15">
      <c r="A115">
        <v>114</v>
      </c>
      <c r="B115" s="1">
        <v>45967</v>
      </c>
      <c r="C115">
        <v>2025</v>
      </c>
      <c r="D115" t="s">
        <v>15</v>
      </c>
      <c r="E115" t="s">
        <v>72</v>
      </c>
      <c r="F115" t="s">
        <v>79</v>
      </c>
      <c r="G115" t="s">
        <v>18</v>
      </c>
      <c r="H115" t="s">
        <v>45</v>
      </c>
      <c r="I115" t="s">
        <v>57</v>
      </c>
      <c r="J115" t="s">
        <v>98</v>
      </c>
      <c r="K115">
        <v>1</v>
      </c>
      <c r="L115" s="2">
        <v>937.06</v>
      </c>
      <c r="M115" s="2">
        <v>937.06</v>
      </c>
      <c r="N115" t="s">
        <v>22</v>
      </c>
      <c r="O115" t="s">
        <v>23</v>
      </c>
    </row>
    <row r="116" spans="1:15">
      <c r="A116">
        <v>115</v>
      </c>
      <c r="B116" s="1">
        <v>45774</v>
      </c>
      <c r="C116">
        <v>2025</v>
      </c>
      <c r="D116" t="s">
        <v>86</v>
      </c>
      <c r="E116" t="s">
        <v>84</v>
      </c>
      <c r="F116" t="s">
        <v>26</v>
      </c>
      <c r="G116" t="s">
        <v>38</v>
      </c>
      <c r="H116" t="s">
        <v>54</v>
      </c>
      <c r="I116" t="s">
        <v>57</v>
      </c>
      <c r="J116" t="s">
        <v>110</v>
      </c>
      <c r="K116">
        <v>4</v>
      </c>
      <c r="L116" s="2">
        <v>1875.92</v>
      </c>
      <c r="M116" s="2">
        <v>7503.68</v>
      </c>
      <c r="N116" t="s">
        <v>41</v>
      </c>
      <c r="O116" t="s">
        <v>23</v>
      </c>
    </row>
    <row r="117" spans="1:15">
      <c r="A117">
        <v>116</v>
      </c>
      <c r="B117" s="1">
        <v>45736</v>
      </c>
      <c r="C117">
        <v>2025</v>
      </c>
      <c r="D117" t="s">
        <v>81</v>
      </c>
      <c r="E117" t="s">
        <v>59</v>
      </c>
      <c r="F117" t="s">
        <v>26</v>
      </c>
      <c r="G117" t="s">
        <v>33</v>
      </c>
      <c r="H117" t="s">
        <v>60</v>
      </c>
      <c r="I117" t="s">
        <v>57</v>
      </c>
      <c r="J117" t="s">
        <v>98</v>
      </c>
      <c r="K117">
        <v>1</v>
      </c>
      <c r="L117" s="2">
        <v>934.79</v>
      </c>
      <c r="M117" s="2">
        <v>934.79</v>
      </c>
      <c r="N117" t="s">
        <v>35</v>
      </c>
      <c r="O117" t="s">
        <v>23</v>
      </c>
    </row>
    <row r="118" spans="1:15">
      <c r="A118">
        <v>117</v>
      </c>
      <c r="B118" s="1">
        <v>45945</v>
      </c>
      <c r="C118">
        <v>2025</v>
      </c>
      <c r="D118" t="s">
        <v>65</v>
      </c>
      <c r="E118" t="s">
        <v>82</v>
      </c>
      <c r="F118" t="s">
        <v>17</v>
      </c>
      <c r="G118" t="s">
        <v>38</v>
      </c>
      <c r="H118" t="s">
        <v>62</v>
      </c>
      <c r="I118" t="s">
        <v>63</v>
      </c>
      <c r="J118" t="s">
        <v>89</v>
      </c>
      <c r="K118">
        <v>1</v>
      </c>
      <c r="L118" s="2">
        <v>3164.76</v>
      </c>
      <c r="M118" s="2">
        <v>3164.76</v>
      </c>
      <c r="N118" t="s">
        <v>41</v>
      </c>
      <c r="O118" t="s">
        <v>23</v>
      </c>
    </row>
    <row r="119" spans="1:15">
      <c r="A119">
        <v>118</v>
      </c>
      <c r="B119" s="1">
        <v>45838</v>
      </c>
      <c r="C119">
        <v>2025</v>
      </c>
      <c r="D119" t="s">
        <v>101</v>
      </c>
      <c r="E119" t="s">
        <v>43</v>
      </c>
      <c r="F119" t="s">
        <v>17</v>
      </c>
      <c r="G119" t="s">
        <v>33</v>
      </c>
      <c r="H119" t="s">
        <v>67</v>
      </c>
      <c r="I119" t="s">
        <v>20</v>
      </c>
      <c r="J119" t="s">
        <v>34</v>
      </c>
      <c r="K119">
        <v>2</v>
      </c>
      <c r="L119" s="2">
        <v>2240.36</v>
      </c>
      <c r="M119" s="2">
        <v>4480.72</v>
      </c>
      <c r="N119" t="s">
        <v>41</v>
      </c>
      <c r="O119" t="s">
        <v>23</v>
      </c>
    </row>
    <row r="120" spans="1:15">
      <c r="A120">
        <v>119</v>
      </c>
      <c r="B120" s="1">
        <v>45800</v>
      </c>
      <c r="C120">
        <v>2025</v>
      </c>
      <c r="D120" t="s">
        <v>31</v>
      </c>
      <c r="E120" t="s">
        <v>130</v>
      </c>
      <c r="F120" t="s">
        <v>17</v>
      </c>
      <c r="G120" t="s">
        <v>18</v>
      </c>
      <c r="H120" t="s">
        <v>67</v>
      </c>
      <c r="I120" t="s">
        <v>63</v>
      </c>
      <c r="J120" t="s">
        <v>95</v>
      </c>
      <c r="K120">
        <v>4</v>
      </c>
      <c r="L120" s="2">
        <v>2081.8000000000002</v>
      </c>
      <c r="M120" s="2">
        <v>8327.2000000000007</v>
      </c>
      <c r="N120" t="s">
        <v>35</v>
      </c>
      <c r="O120" t="s">
        <v>23</v>
      </c>
    </row>
    <row r="121" spans="1:15">
      <c r="A121">
        <v>120</v>
      </c>
      <c r="B121" s="1">
        <v>45994</v>
      </c>
      <c r="C121">
        <v>2025</v>
      </c>
      <c r="D121" t="s">
        <v>71</v>
      </c>
      <c r="E121" t="s">
        <v>88</v>
      </c>
      <c r="F121" t="s">
        <v>26</v>
      </c>
      <c r="G121" t="s">
        <v>33</v>
      </c>
      <c r="H121" t="s">
        <v>54</v>
      </c>
      <c r="I121" t="s">
        <v>39</v>
      </c>
      <c r="J121" t="s">
        <v>76</v>
      </c>
      <c r="K121">
        <v>2</v>
      </c>
      <c r="L121" s="2">
        <v>125.49</v>
      </c>
      <c r="M121" s="2">
        <v>250.98</v>
      </c>
      <c r="N121" t="s">
        <v>35</v>
      </c>
      <c r="O121" t="s">
        <v>23</v>
      </c>
    </row>
    <row r="122" spans="1:15">
      <c r="A122">
        <v>121</v>
      </c>
      <c r="B122" s="1">
        <v>45731</v>
      </c>
      <c r="C122">
        <v>2025</v>
      </c>
      <c r="D122" t="s">
        <v>81</v>
      </c>
      <c r="E122" t="s">
        <v>119</v>
      </c>
      <c r="F122" t="s">
        <v>79</v>
      </c>
      <c r="G122" t="s">
        <v>44</v>
      </c>
      <c r="H122" t="s">
        <v>67</v>
      </c>
      <c r="I122" t="s">
        <v>63</v>
      </c>
      <c r="J122" t="s">
        <v>109</v>
      </c>
      <c r="K122">
        <v>1</v>
      </c>
      <c r="L122" s="2">
        <v>764.66</v>
      </c>
      <c r="M122" s="2">
        <v>764.66</v>
      </c>
      <c r="N122" t="s">
        <v>30</v>
      </c>
      <c r="O122" t="s">
        <v>23</v>
      </c>
    </row>
    <row r="123" spans="1:15">
      <c r="A123">
        <v>122</v>
      </c>
      <c r="B123" s="1">
        <v>45890</v>
      </c>
      <c r="C123">
        <v>2025</v>
      </c>
      <c r="D123" t="s">
        <v>47</v>
      </c>
      <c r="E123" t="s">
        <v>116</v>
      </c>
      <c r="F123" t="s">
        <v>17</v>
      </c>
      <c r="G123" t="s">
        <v>18</v>
      </c>
      <c r="H123" t="s">
        <v>49</v>
      </c>
      <c r="I123" t="s">
        <v>39</v>
      </c>
      <c r="J123" t="s">
        <v>46</v>
      </c>
      <c r="K123">
        <v>3</v>
      </c>
      <c r="L123" s="2">
        <v>341.11</v>
      </c>
      <c r="M123" s="2">
        <v>1023.33</v>
      </c>
      <c r="N123" t="s">
        <v>35</v>
      </c>
      <c r="O123" t="s">
        <v>42</v>
      </c>
    </row>
    <row r="124" spans="1:15">
      <c r="A124">
        <v>123</v>
      </c>
      <c r="B124" s="1">
        <v>45737</v>
      </c>
      <c r="C124">
        <v>2025</v>
      </c>
      <c r="D124" t="s">
        <v>81</v>
      </c>
      <c r="E124" t="s">
        <v>48</v>
      </c>
      <c r="F124" t="s">
        <v>26</v>
      </c>
      <c r="G124" t="s">
        <v>18</v>
      </c>
      <c r="H124" t="s">
        <v>73</v>
      </c>
      <c r="I124" t="s">
        <v>28</v>
      </c>
      <c r="J124" t="s">
        <v>55</v>
      </c>
      <c r="K124">
        <v>1</v>
      </c>
      <c r="L124" s="2">
        <v>3403.31</v>
      </c>
      <c r="M124" s="2">
        <v>3403.31</v>
      </c>
      <c r="N124" t="s">
        <v>22</v>
      </c>
      <c r="O124" t="s">
        <v>23</v>
      </c>
    </row>
    <row r="125" spans="1:15">
      <c r="A125">
        <v>124</v>
      </c>
      <c r="B125" s="1">
        <v>45920</v>
      </c>
      <c r="C125">
        <v>2025</v>
      </c>
      <c r="D125" t="s">
        <v>69</v>
      </c>
      <c r="E125" t="s">
        <v>120</v>
      </c>
      <c r="F125" t="s">
        <v>17</v>
      </c>
      <c r="G125" t="s">
        <v>38</v>
      </c>
      <c r="H125" t="s">
        <v>67</v>
      </c>
      <c r="I125" t="s">
        <v>20</v>
      </c>
      <c r="J125" t="s">
        <v>97</v>
      </c>
      <c r="K125">
        <v>4</v>
      </c>
      <c r="L125" s="2">
        <v>2858.97</v>
      </c>
      <c r="M125" s="2">
        <v>11435.88</v>
      </c>
      <c r="N125" t="s">
        <v>41</v>
      </c>
      <c r="O125" t="s">
        <v>23</v>
      </c>
    </row>
    <row r="126" spans="1:15">
      <c r="A126">
        <v>125</v>
      </c>
      <c r="B126" s="1">
        <v>45860</v>
      </c>
      <c r="C126">
        <v>2025</v>
      </c>
      <c r="D126" t="s">
        <v>36</v>
      </c>
      <c r="E126" t="s">
        <v>128</v>
      </c>
      <c r="F126" t="s">
        <v>17</v>
      </c>
      <c r="G126" t="s">
        <v>33</v>
      </c>
      <c r="H126" t="s">
        <v>90</v>
      </c>
      <c r="I126" t="s">
        <v>63</v>
      </c>
      <c r="J126" t="s">
        <v>64</v>
      </c>
      <c r="K126">
        <v>1</v>
      </c>
      <c r="L126" s="2">
        <v>1156.47</v>
      </c>
      <c r="M126" s="2">
        <v>1156.47</v>
      </c>
      <c r="N126" t="s">
        <v>41</v>
      </c>
      <c r="O126" t="s">
        <v>23</v>
      </c>
    </row>
    <row r="127" spans="1:15">
      <c r="A127">
        <v>126</v>
      </c>
      <c r="B127" s="1">
        <v>45912</v>
      </c>
      <c r="C127">
        <v>2025</v>
      </c>
      <c r="D127" t="s">
        <v>69</v>
      </c>
      <c r="E127" t="s">
        <v>91</v>
      </c>
      <c r="F127" t="s">
        <v>26</v>
      </c>
      <c r="G127" t="s">
        <v>18</v>
      </c>
      <c r="H127" t="s">
        <v>54</v>
      </c>
      <c r="I127" t="s">
        <v>57</v>
      </c>
      <c r="J127" t="s">
        <v>58</v>
      </c>
      <c r="K127">
        <v>2</v>
      </c>
      <c r="L127" s="2">
        <v>1280.33</v>
      </c>
      <c r="M127" s="2">
        <v>2560.66</v>
      </c>
      <c r="N127" t="s">
        <v>35</v>
      </c>
      <c r="O127" t="s">
        <v>23</v>
      </c>
    </row>
    <row r="128" spans="1:15">
      <c r="A128">
        <v>127</v>
      </c>
      <c r="B128" s="1">
        <v>45679</v>
      </c>
      <c r="C128">
        <v>2025</v>
      </c>
      <c r="D128" t="s">
        <v>52</v>
      </c>
      <c r="E128" t="s">
        <v>82</v>
      </c>
      <c r="F128" t="s">
        <v>26</v>
      </c>
      <c r="G128" t="s">
        <v>38</v>
      </c>
      <c r="H128" t="s">
        <v>49</v>
      </c>
      <c r="I128" t="s">
        <v>57</v>
      </c>
      <c r="J128" t="s">
        <v>98</v>
      </c>
      <c r="K128">
        <v>4</v>
      </c>
      <c r="L128" s="2">
        <v>944.44</v>
      </c>
      <c r="M128" s="2">
        <v>3777.76</v>
      </c>
      <c r="N128" t="s">
        <v>22</v>
      </c>
      <c r="O128" t="s">
        <v>23</v>
      </c>
    </row>
    <row r="129" spans="1:15">
      <c r="A129">
        <v>128</v>
      </c>
      <c r="B129" s="1">
        <v>45871</v>
      </c>
      <c r="C129">
        <v>2025</v>
      </c>
      <c r="D129" t="s">
        <v>47</v>
      </c>
      <c r="E129" t="s">
        <v>116</v>
      </c>
      <c r="F129" t="s">
        <v>26</v>
      </c>
      <c r="G129" t="s">
        <v>18</v>
      </c>
      <c r="H129" t="s">
        <v>73</v>
      </c>
      <c r="I129" t="s">
        <v>39</v>
      </c>
      <c r="J129" t="s">
        <v>76</v>
      </c>
      <c r="K129">
        <v>4</v>
      </c>
      <c r="L129" s="2">
        <v>121.58</v>
      </c>
      <c r="M129" s="2">
        <v>486.32</v>
      </c>
      <c r="N129" t="s">
        <v>41</v>
      </c>
      <c r="O129" t="s">
        <v>23</v>
      </c>
    </row>
    <row r="130" spans="1:15">
      <c r="A130">
        <v>129</v>
      </c>
      <c r="B130" s="1">
        <v>45712</v>
      </c>
      <c r="C130">
        <v>2025</v>
      </c>
      <c r="D130" t="s">
        <v>24</v>
      </c>
      <c r="E130" t="s">
        <v>59</v>
      </c>
      <c r="F130" t="s">
        <v>26</v>
      </c>
      <c r="G130" t="s">
        <v>33</v>
      </c>
      <c r="H130" t="s">
        <v>54</v>
      </c>
      <c r="I130" t="s">
        <v>28</v>
      </c>
      <c r="J130" t="s">
        <v>51</v>
      </c>
      <c r="K130">
        <v>5</v>
      </c>
      <c r="L130" s="2">
        <v>6915.39</v>
      </c>
      <c r="M130" s="2">
        <v>34576.949999999997</v>
      </c>
      <c r="N130" t="s">
        <v>30</v>
      </c>
      <c r="O130" t="s">
        <v>23</v>
      </c>
    </row>
    <row r="131" spans="1:15">
      <c r="A131">
        <v>130</v>
      </c>
      <c r="B131" s="1">
        <v>45744</v>
      </c>
      <c r="C131">
        <v>2025</v>
      </c>
      <c r="D131" t="s">
        <v>81</v>
      </c>
      <c r="E131" t="s">
        <v>111</v>
      </c>
      <c r="F131" t="s">
        <v>17</v>
      </c>
      <c r="G131" t="s">
        <v>33</v>
      </c>
      <c r="H131" t="s">
        <v>60</v>
      </c>
      <c r="I131" t="s">
        <v>20</v>
      </c>
      <c r="J131" t="s">
        <v>21</v>
      </c>
      <c r="K131">
        <v>5</v>
      </c>
      <c r="L131" s="2">
        <v>1500.79</v>
      </c>
      <c r="M131" s="2">
        <v>7503.95</v>
      </c>
      <c r="N131" t="s">
        <v>30</v>
      </c>
      <c r="O131" t="s">
        <v>23</v>
      </c>
    </row>
    <row r="132" spans="1:15">
      <c r="A132">
        <v>131</v>
      </c>
      <c r="B132" s="1">
        <v>45789</v>
      </c>
      <c r="C132">
        <v>2025</v>
      </c>
      <c r="D132" t="s">
        <v>31</v>
      </c>
      <c r="E132" t="s">
        <v>88</v>
      </c>
      <c r="F132" t="s">
        <v>17</v>
      </c>
      <c r="G132" t="s">
        <v>80</v>
      </c>
      <c r="H132" t="s">
        <v>73</v>
      </c>
      <c r="I132" t="s">
        <v>28</v>
      </c>
      <c r="J132" t="s">
        <v>29</v>
      </c>
      <c r="K132">
        <v>5</v>
      </c>
      <c r="L132" s="2">
        <v>5078.2700000000004</v>
      </c>
      <c r="M132" s="2">
        <v>25391.35</v>
      </c>
      <c r="N132" t="s">
        <v>22</v>
      </c>
      <c r="O132" t="s">
        <v>23</v>
      </c>
    </row>
    <row r="133" spans="1:15">
      <c r="A133">
        <v>132</v>
      </c>
      <c r="B133" s="1">
        <v>45954</v>
      </c>
      <c r="C133">
        <v>2025</v>
      </c>
      <c r="D133" t="s">
        <v>65</v>
      </c>
      <c r="E133" t="s">
        <v>53</v>
      </c>
      <c r="F133" t="s">
        <v>26</v>
      </c>
      <c r="G133" t="s">
        <v>33</v>
      </c>
      <c r="H133" t="s">
        <v>90</v>
      </c>
      <c r="I133" t="s">
        <v>57</v>
      </c>
      <c r="J133" t="s">
        <v>110</v>
      </c>
      <c r="K133">
        <v>3</v>
      </c>
      <c r="L133" s="2">
        <v>1819.46</v>
      </c>
      <c r="M133" s="2">
        <v>5458.38</v>
      </c>
      <c r="N133" t="s">
        <v>35</v>
      </c>
      <c r="O133" t="s">
        <v>23</v>
      </c>
    </row>
    <row r="134" spans="1:15">
      <c r="A134">
        <v>133</v>
      </c>
      <c r="B134" s="1">
        <v>45695</v>
      </c>
      <c r="C134">
        <v>2025</v>
      </c>
      <c r="D134" t="s">
        <v>24</v>
      </c>
      <c r="E134" t="s">
        <v>121</v>
      </c>
      <c r="F134" t="s">
        <v>17</v>
      </c>
      <c r="G134" t="s">
        <v>44</v>
      </c>
      <c r="H134" t="s">
        <v>19</v>
      </c>
      <c r="I134" t="s">
        <v>39</v>
      </c>
      <c r="J134" t="s">
        <v>85</v>
      </c>
      <c r="K134">
        <v>4</v>
      </c>
      <c r="L134" s="2">
        <v>263.52</v>
      </c>
      <c r="M134" s="2">
        <v>1054.08</v>
      </c>
      <c r="N134" t="s">
        <v>22</v>
      </c>
      <c r="O134" t="s">
        <v>23</v>
      </c>
    </row>
    <row r="135" spans="1:15">
      <c r="A135">
        <v>134</v>
      </c>
      <c r="B135" s="1">
        <v>45941</v>
      </c>
      <c r="C135">
        <v>2025</v>
      </c>
      <c r="D135" t="s">
        <v>65</v>
      </c>
      <c r="E135" t="s">
        <v>116</v>
      </c>
      <c r="F135" t="s">
        <v>17</v>
      </c>
      <c r="G135" t="s">
        <v>18</v>
      </c>
      <c r="H135" t="s">
        <v>60</v>
      </c>
      <c r="I135" t="s">
        <v>20</v>
      </c>
      <c r="J135" t="s">
        <v>93</v>
      </c>
      <c r="K135">
        <v>5</v>
      </c>
      <c r="L135" s="2">
        <v>1017.2</v>
      </c>
      <c r="M135" s="2">
        <v>5086</v>
      </c>
      <c r="N135" t="s">
        <v>35</v>
      </c>
      <c r="O135" t="s">
        <v>23</v>
      </c>
    </row>
    <row r="136" spans="1:15">
      <c r="A136">
        <v>135</v>
      </c>
      <c r="B136" s="1">
        <v>45833</v>
      </c>
      <c r="C136">
        <v>2025</v>
      </c>
      <c r="D136" t="s">
        <v>101</v>
      </c>
      <c r="E136" t="s">
        <v>129</v>
      </c>
      <c r="F136" t="s">
        <v>79</v>
      </c>
      <c r="G136" t="s">
        <v>18</v>
      </c>
      <c r="H136" t="s">
        <v>67</v>
      </c>
      <c r="I136" t="s">
        <v>20</v>
      </c>
      <c r="J136" t="s">
        <v>34</v>
      </c>
      <c r="K136">
        <v>1</v>
      </c>
      <c r="L136" s="2">
        <v>2132.4299999999998</v>
      </c>
      <c r="M136" s="2">
        <v>2132.4299999999998</v>
      </c>
      <c r="N136" t="s">
        <v>30</v>
      </c>
      <c r="O136" t="s">
        <v>23</v>
      </c>
    </row>
    <row r="137" spans="1:15">
      <c r="A137">
        <v>136</v>
      </c>
      <c r="B137" s="1">
        <v>45802</v>
      </c>
      <c r="C137">
        <v>2025</v>
      </c>
      <c r="D137" t="s">
        <v>31</v>
      </c>
      <c r="E137" t="s">
        <v>117</v>
      </c>
      <c r="F137" t="s">
        <v>17</v>
      </c>
      <c r="G137" t="s">
        <v>33</v>
      </c>
      <c r="H137" t="s">
        <v>19</v>
      </c>
      <c r="I137" t="s">
        <v>57</v>
      </c>
      <c r="J137" t="s">
        <v>113</v>
      </c>
      <c r="K137">
        <v>3</v>
      </c>
      <c r="L137" s="2">
        <v>2348.35</v>
      </c>
      <c r="M137" s="2">
        <v>7045.05</v>
      </c>
      <c r="N137" t="s">
        <v>41</v>
      </c>
      <c r="O137" t="s">
        <v>23</v>
      </c>
    </row>
    <row r="138" spans="1:15">
      <c r="A138">
        <v>137</v>
      </c>
      <c r="B138" s="1">
        <v>46005</v>
      </c>
      <c r="C138">
        <v>2025</v>
      </c>
      <c r="D138" t="s">
        <v>71</v>
      </c>
      <c r="E138" t="s">
        <v>48</v>
      </c>
      <c r="F138" t="s">
        <v>79</v>
      </c>
      <c r="G138" t="s">
        <v>18</v>
      </c>
      <c r="H138" t="s">
        <v>60</v>
      </c>
      <c r="I138" t="s">
        <v>57</v>
      </c>
      <c r="J138" t="s">
        <v>110</v>
      </c>
      <c r="K138">
        <v>3</v>
      </c>
      <c r="L138" s="2">
        <v>1949.98</v>
      </c>
      <c r="M138" s="2">
        <v>5849.94</v>
      </c>
      <c r="N138" t="s">
        <v>41</v>
      </c>
      <c r="O138" t="s">
        <v>23</v>
      </c>
    </row>
    <row r="139" spans="1:15">
      <c r="A139">
        <v>138</v>
      </c>
      <c r="B139" s="1">
        <v>45997</v>
      </c>
      <c r="C139">
        <v>2025</v>
      </c>
      <c r="D139" t="s">
        <v>71</v>
      </c>
      <c r="E139" t="s">
        <v>103</v>
      </c>
      <c r="F139" t="s">
        <v>17</v>
      </c>
      <c r="G139" t="s">
        <v>80</v>
      </c>
      <c r="H139" t="s">
        <v>49</v>
      </c>
      <c r="I139" t="s">
        <v>28</v>
      </c>
      <c r="J139" t="s">
        <v>74</v>
      </c>
      <c r="K139">
        <v>3</v>
      </c>
      <c r="L139" s="2">
        <v>4751.5</v>
      </c>
      <c r="M139" s="2">
        <v>14254.5</v>
      </c>
      <c r="N139" t="s">
        <v>35</v>
      </c>
      <c r="O139" t="s">
        <v>23</v>
      </c>
    </row>
    <row r="140" spans="1:15">
      <c r="A140">
        <v>139</v>
      </c>
      <c r="B140" s="1">
        <v>45850</v>
      </c>
      <c r="C140">
        <v>2025</v>
      </c>
      <c r="D140" t="s">
        <v>36</v>
      </c>
      <c r="E140" t="s">
        <v>48</v>
      </c>
      <c r="F140" t="s">
        <v>26</v>
      </c>
      <c r="G140" t="s">
        <v>33</v>
      </c>
      <c r="H140" t="s">
        <v>62</v>
      </c>
      <c r="I140" t="s">
        <v>39</v>
      </c>
      <c r="J140" t="s">
        <v>46</v>
      </c>
      <c r="K140">
        <v>5</v>
      </c>
      <c r="L140" s="2">
        <v>331.97</v>
      </c>
      <c r="M140" s="2">
        <v>1659.85</v>
      </c>
      <c r="N140" t="s">
        <v>41</v>
      </c>
      <c r="O140" t="s">
        <v>23</v>
      </c>
    </row>
    <row r="141" spans="1:15">
      <c r="A141">
        <v>140</v>
      </c>
      <c r="B141" s="1">
        <v>45767</v>
      </c>
      <c r="C141">
        <v>2025</v>
      </c>
      <c r="D141" t="s">
        <v>86</v>
      </c>
      <c r="E141" t="s">
        <v>16</v>
      </c>
      <c r="F141" t="s">
        <v>26</v>
      </c>
      <c r="G141" t="s">
        <v>33</v>
      </c>
      <c r="H141" t="s">
        <v>19</v>
      </c>
      <c r="I141" t="s">
        <v>39</v>
      </c>
      <c r="J141" t="s">
        <v>85</v>
      </c>
      <c r="K141">
        <v>2</v>
      </c>
      <c r="L141" s="2">
        <v>269.83999999999997</v>
      </c>
      <c r="M141" s="2">
        <v>539.67999999999995</v>
      </c>
      <c r="N141" t="s">
        <v>35</v>
      </c>
      <c r="O141" t="s">
        <v>23</v>
      </c>
    </row>
    <row r="142" spans="1:15">
      <c r="A142">
        <v>141</v>
      </c>
      <c r="B142" s="1">
        <v>45974</v>
      </c>
      <c r="C142">
        <v>2025</v>
      </c>
      <c r="D142" t="s">
        <v>15</v>
      </c>
      <c r="E142" t="s">
        <v>122</v>
      </c>
      <c r="F142" t="s">
        <v>17</v>
      </c>
      <c r="G142" t="s">
        <v>18</v>
      </c>
      <c r="H142" t="s">
        <v>60</v>
      </c>
      <c r="I142" t="s">
        <v>28</v>
      </c>
      <c r="J142" t="s">
        <v>51</v>
      </c>
      <c r="K142">
        <v>2</v>
      </c>
      <c r="L142" s="2">
        <v>6715.33</v>
      </c>
      <c r="M142" s="2">
        <v>13430.66</v>
      </c>
      <c r="N142" t="s">
        <v>22</v>
      </c>
      <c r="O142" t="s">
        <v>23</v>
      </c>
    </row>
    <row r="143" spans="1:15">
      <c r="A143">
        <v>142</v>
      </c>
      <c r="B143" s="1">
        <v>45844</v>
      </c>
      <c r="C143">
        <v>2025</v>
      </c>
      <c r="D143" t="s">
        <v>36</v>
      </c>
      <c r="E143" t="s">
        <v>56</v>
      </c>
      <c r="F143" t="s">
        <v>17</v>
      </c>
      <c r="G143" t="s">
        <v>80</v>
      </c>
      <c r="H143" t="s">
        <v>67</v>
      </c>
      <c r="I143" t="s">
        <v>28</v>
      </c>
      <c r="J143" t="s">
        <v>51</v>
      </c>
      <c r="K143">
        <v>5</v>
      </c>
      <c r="L143" s="2">
        <v>6818.37</v>
      </c>
      <c r="M143" s="2">
        <v>34091.85</v>
      </c>
      <c r="N143" t="s">
        <v>30</v>
      </c>
      <c r="O143" t="s">
        <v>23</v>
      </c>
    </row>
    <row r="144" spans="1:15">
      <c r="A144">
        <v>143</v>
      </c>
      <c r="B144" s="1">
        <v>45898</v>
      </c>
      <c r="C144">
        <v>2025</v>
      </c>
      <c r="D144" t="s">
        <v>47</v>
      </c>
      <c r="E144" t="s">
        <v>61</v>
      </c>
      <c r="F144" t="s">
        <v>17</v>
      </c>
      <c r="G144" t="s">
        <v>38</v>
      </c>
      <c r="H144" t="s">
        <v>67</v>
      </c>
      <c r="I144" t="s">
        <v>28</v>
      </c>
      <c r="J144" t="s">
        <v>74</v>
      </c>
      <c r="K144">
        <v>5</v>
      </c>
      <c r="L144" s="2">
        <v>4760.54</v>
      </c>
      <c r="M144" s="2">
        <v>23802.7</v>
      </c>
      <c r="N144" t="s">
        <v>22</v>
      </c>
      <c r="O144" t="s">
        <v>70</v>
      </c>
    </row>
    <row r="145" spans="1:15">
      <c r="A145">
        <v>144</v>
      </c>
      <c r="B145" s="1">
        <v>45760</v>
      </c>
      <c r="C145">
        <v>2025</v>
      </c>
      <c r="D145" t="s">
        <v>86</v>
      </c>
      <c r="E145" t="s">
        <v>118</v>
      </c>
      <c r="F145" t="s">
        <v>79</v>
      </c>
      <c r="G145" t="s">
        <v>18</v>
      </c>
      <c r="H145" t="s">
        <v>19</v>
      </c>
      <c r="I145" t="s">
        <v>63</v>
      </c>
      <c r="J145" t="s">
        <v>95</v>
      </c>
      <c r="K145">
        <v>3</v>
      </c>
      <c r="L145" s="2">
        <v>1891.58</v>
      </c>
      <c r="M145" s="2">
        <v>5674.74</v>
      </c>
      <c r="N145" t="s">
        <v>35</v>
      </c>
      <c r="O145" t="s">
        <v>23</v>
      </c>
    </row>
    <row r="146" spans="1:15">
      <c r="A146">
        <v>145</v>
      </c>
      <c r="B146" s="1">
        <v>45740</v>
      </c>
      <c r="C146">
        <v>2025</v>
      </c>
      <c r="D146" t="s">
        <v>81</v>
      </c>
      <c r="E146" t="s">
        <v>77</v>
      </c>
      <c r="F146" t="s">
        <v>26</v>
      </c>
      <c r="G146" t="s">
        <v>80</v>
      </c>
      <c r="H146" t="s">
        <v>73</v>
      </c>
      <c r="I146" t="s">
        <v>39</v>
      </c>
      <c r="J146" t="s">
        <v>85</v>
      </c>
      <c r="K146">
        <v>5</v>
      </c>
      <c r="L146" s="2">
        <v>267.19</v>
      </c>
      <c r="M146" s="2">
        <v>1335.95</v>
      </c>
      <c r="N146" t="s">
        <v>41</v>
      </c>
      <c r="O146" t="s">
        <v>70</v>
      </c>
    </row>
    <row r="147" spans="1:15">
      <c r="A147">
        <v>146</v>
      </c>
      <c r="B147" s="1">
        <v>45870</v>
      </c>
      <c r="C147">
        <v>2025</v>
      </c>
      <c r="D147" t="s">
        <v>47</v>
      </c>
      <c r="E147" t="s">
        <v>125</v>
      </c>
      <c r="F147" t="s">
        <v>79</v>
      </c>
      <c r="G147" t="s">
        <v>33</v>
      </c>
      <c r="H147" t="s">
        <v>45</v>
      </c>
      <c r="I147" t="s">
        <v>20</v>
      </c>
      <c r="J147" t="s">
        <v>93</v>
      </c>
      <c r="K147">
        <v>5</v>
      </c>
      <c r="L147" s="2">
        <v>983.89</v>
      </c>
      <c r="M147" s="2">
        <v>4919.45</v>
      </c>
      <c r="N147" t="s">
        <v>35</v>
      </c>
      <c r="O147" t="s">
        <v>23</v>
      </c>
    </row>
    <row r="148" spans="1:15">
      <c r="A148">
        <v>147</v>
      </c>
      <c r="B148" s="1">
        <v>45708</v>
      </c>
      <c r="C148">
        <v>2025</v>
      </c>
      <c r="D148" t="s">
        <v>24</v>
      </c>
      <c r="E148" t="s">
        <v>108</v>
      </c>
      <c r="F148" t="s">
        <v>17</v>
      </c>
      <c r="G148" t="s">
        <v>80</v>
      </c>
      <c r="H148" t="s">
        <v>73</v>
      </c>
      <c r="I148" t="s">
        <v>39</v>
      </c>
      <c r="J148" t="s">
        <v>46</v>
      </c>
      <c r="K148">
        <v>2</v>
      </c>
      <c r="L148" s="2">
        <v>329.66</v>
      </c>
      <c r="M148" s="2">
        <v>659.32</v>
      </c>
      <c r="N148" t="s">
        <v>22</v>
      </c>
      <c r="O148" t="s">
        <v>23</v>
      </c>
    </row>
    <row r="149" spans="1:15">
      <c r="A149">
        <v>148</v>
      </c>
      <c r="B149" s="1">
        <v>45698</v>
      </c>
      <c r="C149">
        <v>2025</v>
      </c>
      <c r="D149" t="s">
        <v>24</v>
      </c>
      <c r="E149" t="s">
        <v>25</v>
      </c>
      <c r="F149" t="s">
        <v>79</v>
      </c>
      <c r="G149" t="s">
        <v>18</v>
      </c>
      <c r="H149" t="s">
        <v>67</v>
      </c>
      <c r="I149" t="s">
        <v>20</v>
      </c>
      <c r="J149" t="s">
        <v>97</v>
      </c>
      <c r="K149">
        <v>2</v>
      </c>
      <c r="L149" s="2">
        <v>3119.55</v>
      </c>
      <c r="M149" s="2">
        <v>6239.1</v>
      </c>
      <c r="N149" t="s">
        <v>22</v>
      </c>
      <c r="O149" t="s">
        <v>23</v>
      </c>
    </row>
    <row r="150" spans="1:15">
      <c r="A150">
        <v>149</v>
      </c>
      <c r="B150" s="1">
        <v>45805</v>
      </c>
      <c r="C150">
        <v>2025</v>
      </c>
      <c r="D150" t="s">
        <v>31</v>
      </c>
      <c r="E150" t="s">
        <v>96</v>
      </c>
      <c r="F150" t="s">
        <v>17</v>
      </c>
      <c r="G150" t="s">
        <v>18</v>
      </c>
      <c r="H150" t="s">
        <v>73</v>
      </c>
      <c r="I150" t="s">
        <v>28</v>
      </c>
      <c r="J150" t="s">
        <v>74</v>
      </c>
      <c r="K150">
        <v>1</v>
      </c>
      <c r="L150" s="2">
        <v>4254.84</v>
      </c>
      <c r="M150" s="2">
        <v>4254.84</v>
      </c>
      <c r="N150" t="s">
        <v>35</v>
      </c>
      <c r="O150" t="s">
        <v>23</v>
      </c>
    </row>
    <row r="151" spans="1:15">
      <c r="A151">
        <v>150</v>
      </c>
      <c r="B151" s="1">
        <v>45913</v>
      </c>
      <c r="C151">
        <v>2025</v>
      </c>
      <c r="D151" t="s">
        <v>69</v>
      </c>
      <c r="E151" t="s">
        <v>91</v>
      </c>
      <c r="F151" t="s">
        <v>26</v>
      </c>
      <c r="G151" t="s">
        <v>38</v>
      </c>
      <c r="H151" t="s">
        <v>62</v>
      </c>
      <c r="I151" t="s">
        <v>63</v>
      </c>
      <c r="J151" t="s">
        <v>64</v>
      </c>
      <c r="K151">
        <v>5</v>
      </c>
      <c r="L151" s="2">
        <v>1209.8</v>
      </c>
      <c r="M151" s="2">
        <v>6049</v>
      </c>
      <c r="N151" t="s">
        <v>41</v>
      </c>
      <c r="O151" t="s">
        <v>23</v>
      </c>
    </row>
    <row r="152" spans="1:15">
      <c r="A152">
        <v>151</v>
      </c>
      <c r="B152" s="1">
        <v>45871</v>
      </c>
      <c r="C152">
        <v>2025</v>
      </c>
      <c r="D152" t="s">
        <v>47</v>
      </c>
      <c r="E152" t="s">
        <v>53</v>
      </c>
      <c r="F152" t="s">
        <v>79</v>
      </c>
      <c r="G152" t="s">
        <v>18</v>
      </c>
      <c r="H152" t="s">
        <v>67</v>
      </c>
      <c r="I152" t="s">
        <v>28</v>
      </c>
      <c r="J152" t="s">
        <v>55</v>
      </c>
      <c r="K152">
        <v>5</v>
      </c>
      <c r="L152" s="2">
        <v>3698.3</v>
      </c>
      <c r="M152" s="2">
        <v>18491.5</v>
      </c>
      <c r="N152" t="s">
        <v>35</v>
      </c>
      <c r="O152" t="s">
        <v>23</v>
      </c>
    </row>
    <row r="153" spans="1:15">
      <c r="A153">
        <v>152</v>
      </c>
      <c r="B153" s="1">
        <v>45898</v>
      </c>
      <c r="C153">
        <v>2025</v>
      </c>
      <c r="D153" t="s">
        <v>47</v>
      </c>
      <c r="E153" t="s">
        <v>131</v>
      </c>
      <c r="F153" t="s">
        <v>26</v>
      </c>
      <c r="G153" t="s">
        <v>44</v>
      </c>
      <c r="H153" t="s">
        <v>54</v>
      </c>
      <c r="I153" t="s">
        <v>20</v>
      </c>
      <c r="J153" t="s">
        <v>93</v>
      </c>
      <c r="K153">
        <v>3</v>
      </c>
      <c r="L153" s="2">
        <v>969.47</v>
      </c>
      <c r="M153" s="2">
        <v>2908.41</v>
      </c>
      <c r="N153" t="s">
        <v>30</v>
      </c>
      <c r="O153" t="s">
        <v>23</v>
      </c>
    </row>
    <row r="154" spans="1:15">
      <c r="A154">
        <v>153</v>
      </c>
      <c r="B154" s="1">
        <v>45979</v>
      </c>
      <c r="C154">
        <v>2025</v>
      </c>
      <c r="D154" t="s">
        <v>15</v>
      </c>
      <c r="E154" t="s">
        <v>37</v>
      </c>
      <c r="F154" t="s">
        <v>26</v>
      </c>
      <c r="G154" t="s">
        <v>80</v>
      </c>
      <c r="H154" t="s">
        <v>73</v>
      </c>
      <c r="I154" t="s">
        <v>20</v>
      </c>
      <c r="J154" t="s">
        <v>97</v>
      </c>
      <c r="K154">
        <v>2</v>
      </c>
      <c r="L154" s="2">
        <v>2835.02</v>
      </c>
      <c r="M154" s="2">
        <v>5670.04</v>
      </c>
      <c r="N154" t="s">
        <v>22</v>
      </c>
      <c r="O154" t="s">
        <v>23</v>
      </c>
    </row>
    <row r="155" spans="1:15">
      <c r="A155">
        <v>154</v>
      </c>
      <c r="B155" s="1">
        <v>45727</v>
      </c>
      <c r="C155">
        <v>2025</v>
      </c>
      <c r="D155" t="s">
        <v>81</v>
      </c>
      <c r="E155" t="s">
        <v>106</v>
      </c>
      <c r="F155" t="s">
        <v>17</v>
      </c>
      <c r="G155" t="s">
        <v>44</v>
      </c>
      <c r="H155" t="s">
        <v>54</v>
      </c>
      <c r="I155" t="s">
        <v>20</v>
      </c>
      <c r="J155" t="s">
        <v>93</v>
      </c>
      <c r="K155">
        <v>1</v>
      </c>
      <c r="L155" s="2">
        <v>974.24</v>
      </c>
      <c r="M155" s="2">
        <v>974.24</v>
      </c>
      <c r="N155" t="s">
        <v>41</v>
      </c>
      <c r="O155" t="s">
        <v>23</v>
      </c>
    </row>
    <row r="156" spans="1:15">
      <c r="A156">
        <v>155</v>
      </c>
      <c r="B156" s="1">
        <v>45936</v>
      </c>
      <c r="C156">
        <v>2025</v>
      </c>
      <c r="D156" t="s">
        <v>65</v>
      </c>
      <c r="E156" t="s">
        <v>132</v>
      </c>
      <c r="F156" t="s">
        <v>26</v>
      </c>
      <c r="G156" t="s">
        <v>44</v>
      </c>
      <c r="H156" t="s">
        <v>54</v>
      </c>
      <c r="I156" t="s">
        <v>57</v>
      </c>
      <c r="J156" t="s">
        <v>110</v>
      </c>
      <c r="K156">
        <v>1</v>
      </c>
      <c r="L156" s="2">
        <v>1956.72</v>
      </c>
      <c r="M156" s="2">
        <v>1956.72</v>
      </c>
      <c r="N156" t="s">
        <v>41</v>
      </c>
      <c r="O156" t="s">
        <v>23</v>
      </c>
    </row>
    <row r="157" spans="1:15">
      <c r="A157">
        <v>156</v>
      </c>
      <c r="B157" s="1">
        <v>45846</v>
      </c>
      <c r="C157">
        <v>2025</v>
      </c>
      <c r="D157" t="s">
        <v>36</v>
      </c>
      <c r="E157" t="s">
        <v>125</v>
      </c>
      <c r="F157" t="s">
        <v>26</v>
      </c>
      <c r="G157" t="s">
        <v>80</v>
      </c>
      <c r="H157" t="s">
        <v>73</v>
      </c>
      <c r="I157" t="s">
        <v>57</v>
      </c>
      <c r="J157" t="s">
        <v>113</v>
      </c>
      <c r="K157">
        <v>4</v>
      </c>
      <c r="L157" s="2">
        <v>2407.87</v>
      </c>
      <c r="M157" s="2">
        <v>9631.48</v>
      </c>
      <c r="N157" t="s">
        <v>22</v>
      </c>
      <c r="O157" t="s">
        <v>23</v>
      </c>
    </row>
    <row r="158" spans="1:15">
      <c r="A158">
        <v>157</v>
      </c>
      <c r="B158" s="1">
        <v>45923</v>
      </c>
      <c r="C158">
        <v>2025</v>
      </c>
      <c r="D158" t="s">
        <v>69</v>
      </c>
      <c r="E158" t="s">
        <v>133</v>
      </c>
      <c r="F158" t="s">
        <v>79</v>
      </c>
      <c r="G158" t="s">
        <v>80</v>
      </c>
      <c r="H158" t="s">
        <v>67</v>
      </c>
      <c r="I158" t="s">
        <v>39</v>
      </c>
      <c r="J158" t="s">
        <v>76</v>
      </c>
      <c r="K158">
        <v>4</v>
      </c>
      <c r="L158" s="2">
        <v>122.48</v>
      </c>
      <c r="M158" s="2">
        <v>489.92</v>
      </c>
      <c r="N158" t="s">
        <v>41</v>
      </c>
      <c r="O158" t="s">
        <v>23</v>
      </c>
    </row>
    <row r="159" spans="1:15">
      <c r="A159">
        <v>158</v>
      </c>
      <c r="B159" s="1">
        <v>45698</v>
      </c>
      <c r="C159">
        <v>2025</v>
      </c>
      <c r="D159" t="s">
        <v>24</v>
      </c>
      <c r="E159" t="s">
        <v>91</v>
      </c>
      <c r="F159" t="s">
        <v>26</v>
      </c>
      <c r="G159" t="s">
        <v>38</v>
      </c>
      <c r="H159" t="s">
        <v>54</v>
      </c>
      <c r="I159" t="s">
        <v>39</v>
      </c>
      <c r="J159" t="s">
        <v>40</v>
      </c>
      <c r="K159">
        <v>3</v>
      </c>
      <c r="L159" s="2">
        <v>217.58</v>
      </c>
      <c r="M159" s="2">
        <v>652.74</v>
      </c>
      <c r="N159" t="s">
        <v>22</v>
      </c>
      <c r="O159" t="s">
        <v>23</v>
      </c>
    </row>
    <row r="160" spans="1:15">
      <c r="A160">
        <v>159</v>
      </c>
      <c r="B160" s="1">
        <v>45838</v>
      </c>
      <c r="C160">
        <v>2025</v>
      </c>
      <c r="D160" t="s">
        <v>101</v>
      </c>
      <c r="E160" t="s">
        <v>123</v>
      </c>
      <c r="F160" t="s">
        <v>79</v>
      </c>
      <c r="G160" t="s">
        <v>44</v>
      </c>
      <c r="H160" t="s">
        <v>27</v>
      </c>
      <c r="I160" t="s">
        <v>63</v>
      </c>
      <c r="J160" t="s">
        <v>109</v>
      </c>
      <c r="K160">
        <v>3</v>
      </c>
      <c r="L160" s="2">
        <v>812.37</v>
      </c>
      <c r="M160" s="2">
        <v>2437.11</v>
      </c>
      <c r="N160" t="s">
        <v>41</v>
      </c>
      <c r="O160" t="s">
        <v>23</v>
      </c>
    </row>
    <row r="161" spans="1:15">
      <c r="A161">
        <v>160</v>
      </c>
      <c r="B161" s="1">
        <v>46005</v>
      </c>
      <c r="C161">
        <v>2025</v>
      </c>
      <c r="D161" t="s">
        <v>71</v>
      </c>
      <c r="E161" t="s">
        <v>120</v>
      </c>
      <c r="F161" t="s">
        <v>17</v>
      </c>
      <c r="G161" t="s">
        <v>44</v>
      </c>
      <c r="H161" t="s">
        <v>60</v>
      </c>
      <c r="I161" t="s">
        <v>28</v>
      </c>
      <c r="J161" t="s">
        <v>55</v>
      </c>
      <c r="K161">
        <v>2</v>
      </c>
      <c r="L161" s="2">
        <v>3645.4</v>
      </c>
      <c r="M161" s="2">
        <v>7290.8</v>
      </c>
      <c r="N161" t="s">
        <v>35</v>
      </c>
      <c r="O161" t="s">
        <v>23</v>
      </c>
    </row>
    <row r="162" spans="1:15">
      <c r="A162">
        <v>161</v>
      </c>
      <c r="B162" s="1">
        <v>45988</v>
      </c>
      <c r="C162">
        <v>2025</v>
      </c>
      <c r="D162" t="s">
        <v>15</v>
      </c>
      <c r="E162" t="s">
        <v>106</v>
      </c>
      <c r="F162" t="s">
        <v>17</v>
      </c>
      <c r="G162" t="s">
        <v>38</v>
      </c>
      <c r="H162" t="s">
        <v>54</v>
      </c>
      <c r="I162" t="s">
        <v>39</v>
      </c>
      <c r="J162" t="s">
        <v>40</v>
      </c>
      <c r="K162">
        <v>4</v>
      </c>
      <c r="L162" s="2">
        <v>230.81</v>
      </c>
      <c r="M162" s="2">
        <v>923.24</v>
      </c>
      <c r="N162" t="s">
        <v>41</v>
      </c>
      <c r="O162" t="s">
        <v>23</v>
      </c>
    </row>
    <row r="163" spans="1:15">
      <c r="A163">
        <v>162</v>
      </c>
      <c r="B163" s="1">
        <v>45697</v>
      </c>
      <c r="C163">
        <v>2025</v>
      </c>
      <c r="D163" t="s">
        <v>24</v>
      </c>
      <c r="E163" t="s">
        <v>116</v>
      </c>
      <c r="F163" t="s">
        <v>17</v>
      </c>
      <c r="G163" t="s">
        <v>80</v>
      </c>
      <c r="H163" t="s">
        <v>19</v>
      </c>
      <c r="I163" t="s">
        <v>63</v>
      </c>
      <c r="J163" t="s">
        <v>95</v>
      </c>
      <c r="K163">
        <v>5</v>
      </c>
      <c r="L163" s="2">
        <v>1967.08</v>
      </c>
      <c r="M163" s="2">
        <v>9835.4</v>
      </c>
      <c r="N163" t="s">
        <v>35</v>
      </c>
      <c r="O163" t="s">
        <v>23</v>
      </c>
    </row>
    <row r="164" spans="1:15">
      <c r="A164">
        <v>163</v>
      </c>
      <c r="B164" s="1">
        <v>45913</v>
      </c>
      <c r="C164">
        <v>2025</v>
      </c>
      <c r="D164" t="s">
        <v>69</v>
      </c>
      <c r="E164" t="s">
        <v>130</v>
      </c>
      <c r="F164" t="s">
        <v>26</v>
      </c>
      <c r="G164" t="s">
        <v>38</v>
      </c>
      <c r="H164" t="s">
        <v>45</v>
      </c>
      <c r="I164" t="s">
        <v>63</v>
      </c>
      <c r="J164" t="s">
        <v>109</v>
      </c>
      <c r="K164">
        <v>5</v>
      </c>
      <c r="L164" s="2">
        <v>762.35</v>
      </c>
      <c r="M164" s="2">
        <v>3811.75</v>
      </c>
      <c r="N164" t="s">
        <v>41</v>
      </c>
      <c r="O164" t="s">
        <v>23</v>
      </c>
    </row>
    <row r="165" spans="1:15">
      <c r="A165">
        <v>164</v>
      </c>
      <c r="B165" s="1">
        <v>45909</v>
      </c>
      <c r="C165">
        <v>2025</v>
      </c>
      <c r="D165" t="s">
        <v>69</v>
      </c>
      <c r="E165" t="s">
        <v>129</v>
      </c>
      <c r="F165" t="s">
        <v>26</v>
      </c>
      <c r="G165" t="s">
        <v>38</v>
      </c>
      <c r="H165" t="s">
        <v>19</v>
      </c>
      <c r="I165" t="s">
        <v>28</v>
      </c>
      <c r="J165" t="s">
        <v>55</v>
      </c>
      <c r="K165">
        <v>2</v>
      </c>
      <c r="L165" s="2">
        <v>3647.14</v>
      </c>
      <c r="M165" s="2">
        <v>7294.28</v>
      </c>
      <c r="N165" t="s">
        <v>41</v>
      </c>
      <c r="O165" t="s">
        <v>23</v>
      </c>
    </row>
    <row r="166" spans="1:15">
      <c r="A166">
        <v>165</v>
      </c>
      <c r="B166" s="1">
        <v>46021</v>
      </c>
      <c r="C166">
        <v>2025</v>
      </c>
      <c r="D166" t="s">
        <v>71</v>
      </c>
      <c r="E166" t="s">
        <v>91</v>
      </c>
      <c r="F166" t="s">
        <v>17</v>
      </c>
      <c r="G166" t="s">
        <v>80</v>
      </c>
      <c r="H166" t="s">
        <v>54</v>
      </c>
      <c r="I166" t="s">
        <v>20</v>
      </c>
      <c r="J166" t="s">
        <v>97</v>
      </c>
      <c r="K166">
        <v>3</v>
      </c>
      <c r="L166" s="2">
        <v>3125.45</v>
      </c>
      <c r="M166" s="2">
        <v>9376.35</v>
      </c>
      <c r="N166" t="s">
        <v>30</v>
      </c>
      <c r="O166" t="s">
        <v>23</v>
      </c>
    </row>
    <row r="167" spans="1:15">
      <c r="A167">
        <v>166</v>
      </c>
      <c r="B167" s="1">
        <v>45760</v>
      </c>
      <c r="C167">
        <v>2025</v>
      </c>
      <c r="D167" t="s">
        <v>86</v>
      </c>
      <c r="E167" t="s">
        <v>25</v>
      </c>
      <c r="F167" t="s">
        <v>17</v>
      </c>
      <c r="G167" t="s">
        <v>38</v>
      </c>
      <c r="H167" t="s">
        <v>67</v>
      </c>
      <c r="I167" t="s">
        <v>28</v>
      </c>
      <c r="J167" t="s">
        <v>29</v>
      </c>
      <c r="K167">
        <v>4</v>
      </c>
      <c r="L167" s="2">
        <v>4997.7700000000004</v>
      </c>
      <c r="M167" s="2">
        <v>19991.080000000002</v>
      </c>
      <c r="N167" t="s">
        <v>30</v>
      </c>
      <c r="O167" t="s">
        <v>23</v>
      </c>
    </row>
    <row r="168" spans="1:15">
      <c r="A168">
        <v>167</v>
      </c>
      <c r="B168" s="1">
        <v>45702</v>
      </c>
      <c r="C168">
        <v>2025</v>
      </c>
      <c r="D168" t="s">
        <v>24</v>
      </c>
      <c r="E168" t="s">
        <v>84</v>
      </c>
      <c r="F168" t="s">
        <v>26</v>
      </c>
      <c r="G168" t="s">
        <v>38</v>
      </c>
      <c r="H168" t="s">
        <v>27</v>
      </c>
      <c r="I168" t="s">
        <v>20</v>
      </c>
      <c r="J168" t="s">
        <v>97</v>
      </c>
      <c r="K168">
        <v>4</v>
      </c>
      <c r="L168" s="2">
        <v>3178.79</v>
      </c>
      <c r="M168" s="2">
        <v>12715.16</v>
      </c>
      <c r="N168" t="s">
        <v>35</v>
      </c>
      <c r="O168" t="s">
        <v>23</v>
      </c>
    </row>
    <row r="169" spans="1:15">
      <c r="A169">
        <v>168</v>
      </c>
      <c r="B169" s="1">
        <v>45820</v>
      </c>
      <c r="C169">
        <v>2025</v>
      </c>
      <c r="D169" t="s">
        <v>101</v>
      </c>
      <c r="E169" t="s">
        <v>112</v>
      </c>
      <c r="F169" t="s">
        <v>26</v>
      </c>
      <c r="G169" t="s">
        <v>18</v>
      </c>
      <c r="H169" t="s">
        <v>49</v>
      </c>
      <c r="I169" t="s">
        <v>20</v>
      </c>
      <c r="J169" t="s">
        <v>93</v>
      </c>
      <c r="K169">
        <v>4</v>
      </c>
      <c r="L169" s="2">
        <v>1020.59</v>
      </c>
      <c r="M169" s="2">
        <v>4082.36</v>
      </c>
      <c r="N169" t="s">
        <v>30</v>
      </c>
      <c r="O169" t="s">
        <v>23</v>
      </c>
    </row>
    <row r="170" spans="1:15">
      <c r="A170">
        <v>169</v>
      </c>
      <c r="B170" s="1">
        <v>45724</v>
      </c>
      <c r="C170">
        <v>2025</v>
      </c>
      <c r="D170" t="s">
        <v>81</v>
      </c>
      <c r="E170" t="s">
        <v>94</v>
      </c>
      <c r="F170" t="s">
        <v>26</v>
      </c>
      <c r="G170" t="s">
        <v>33</v>
      </c>
      <c r="H170" t="s">
        <v>45</v>
      </c>
      <c r="I170" t="s">
        <v>57</v>
      </c>
      <c r="J170" t="s">
        <v>98</v>
      </c>
      <c r="K170">
        <v>1</v>
      </c>
      <c r="L170" s="2">
        <v>900.95</v>
      </c>
      <c r="M170" s="2">
        <v>900.95</v>
      </c>
      <c r="N170" t="s">
        <v>41</v>
      </c>
      <c r="O170" t="s">
        <v>70</v>
      </c>
    </row>
    <row r="171" spans="1:15">
      <c r="A171">
        <v>170</v>
      </c>
      <c r="B171" s="1">
        <v>45923</v>
      </c>
      <c r="C171">
        <v>2025</v>
      </c>
      <c r="D171" t="s">
        <v>69</v>
      </c>
      <c r="E171" t="s">
        <v>25</v>
      </c>
      <c r="F171" t="s">
        <v>26</v>
      </c>
      <c r="G171" t="s">
        <v>33</v>
      </c>
      <c r="H171" t="s">
        <v>49</v>
      </c>
      <c r="I171" t="s">
        <v>39</v>
      </c>
      <c r="J171" t="s">
        <v>76</v>
      </c>
      <c r="K171">
        <v>3</v>
      </c>
      <c r="L171" s="2">
        <v>124.3</v>
      </c>
      <c r="M171" s="2">
        <v>372.9</v>
      </c>
      <c r="N171" t="s">
        <v>35</v>
      </c>
      <c r="O171" t="s">
        <v>23</v>
      </c>
    </row>
    <row r="172" spans="1:15">
      <c r="A172">
        <v>171</v>
      </c>
      <c r="B172" s="1">
        <v>45744</v>
      </c>
      <c r="C172">
        <v>2025</v>
      </c>
      <c r="D172" t="s">
        <v>81</v>
      </c>
      <c r="E172" t="s">
        <v>84</v>
      </c>
      <c r="F172" t="s">
        <v>79</v>
      </c>
      <c r="G172" t="s">
        <v>33</v>
      </c>
      <c r="H172" t="s">
        <v>49</v>
      </c>
      <c r="I172" t="s">
        <v>63</v>
      </c>
      <c r="J172" t="s">
        <v>95</v>
      </c>
      <c r="K172">
        <v>2</v>
      </c>
      <c r="L172" s="2">
        <v>2037.08</v>
      </c>
      <c r="M172" s="2">
        <v>4074.16</v>
      </c>
      <c r="N172" t="s">
        <v>35</v>
      </c>
      <c r="O172" t="s">
        <v>42</v>
      </c>
    </row>
    <row r="173" spans="1:15">
      <c r="A173">
        <v>172</v>
      </c>
      <c r="B173" s="1">
        <v>45672</v>
      </c>
      <c r="C173">
        <v>2025</v>
      </c>
      <c r="D173" t="s">
        <v>52</v>
      </c>
      <c r="E173" t="s">
        <v>128</v>
      </c>
      <c r="F173" t="s">
        <v>17</v>
      </c>
      <c r="G173" t="s">
        <v>38</v>
      </c>
      <c r="H173" t="s">
        <v>49</v>
      </c>
      <c r="I173" t="s">
        <v>20</v>
      </c>
      <c r="J173" t="s">
        <v>21</v>
      </c>
      <c r="K173">
        <v>5</v>
      </c>
      <c r="L173" s="2">
        <v>1456.67</v>
      </c>
      <c r="M173" s="2">
        <v>7283.35</v>
      </c>
      <c r="N173" t="s">
        <v>35</v>
      </c>
      <c r="O173" t="s">
        <v>23</v>
      </c>
    </row>
    <row r="174" spans="1:15">
      <c r="A174">
        <v>173</v>
      </c>
      <c r="B174" s="1">
        <v>45979</v>
      </c>
      <c r="C174">
        <v>2025</v>
      </c>
      <c r="D174" t="s">
        <v>15</v>
      </c>
      <c r="E174" t="s">
        <v>78</v>
      </c>
      <c r="F174" t="s">
        <v>17</v>
      </c>
      <c r="G174" t="s">
        <v>38</v>
      </c>
      <c r="H174" t="s">
        <v>90</v>
      </c>
      <c r="I174" t="s">
        <v>63</v>
      </c>
      <c r="J174" t="s">
        <v>89</v>
      </c>
      <c r="K174">
        <v>3</v>
      </c>
      <c r="L174" s="2">
        <v>3192.45</v>
      </c>
      <c r="M174" s="2">
        <v>9577.35</v>
      </c>
      <c r="N174" t="s">
        <v>22</v>
      </c>
      <c r="O174" t="s">
        <v>23</v>
      </c>
    </row>
    <row r="175" spans="1:15">
      <c r="A175">
        <v>174</v>
      </c>
      <c r="B175" s="1">
        <v>45688</v>
      </c>
      <c r="C175">
        <v>2025</v>
      </c>
      <c r="D175" t="s">
        <v>52</v>
      </c>
      <c r="E175" t="s">
        <v>128</v>
      </c>
      <c r="F175" t="s">
        <v>26</v>
      </c>
      <c r="G175" t="s">
        <v>80</v>
      </c>
      <c r="H175" t="s">
        <v>54</v>
      </c>
      <c r="I175" t="s">
        <v>28</v>
      </c>
      <c r="J175" t="s">
        <v>51</v>
      </c>
      <c r="K175">
        <v>4</v>
      </c>
      <c r="L175" s="2">
        <v>6985.77</v>
      </c>
      <c r="M175" s="2">
        <v>27943.08</v>
      </c>
      <c r="N175" t="s">
        <v>41</v>
      </c>
      <c r="O175" t="s">
        <v>23</v>
      </c>
    </row>
    <row r="176" spans="1:15">
      <c r="A176">
        <v>175</v>
      </c>
      <c r="B176" s="1">
        <v>45834</v>
      </c>
      <c r="C176">
        <v>2025</v>
      </c>
      <c r="D176" t="s">
        <v>101</v>
      </c>
      <c r="E176" t="s">
        <v>114</v>
      </c>
      <c r="F176" t="s">
        <v>26</v>
      </c>
      <c r="G176" t="s">
        <v>38</v>
      </c>
      <c r="H176" t="s">
        <v>19</v>
      </c>
      <c r="I176" t="s">
        <v>57</v>
      </c>
      <c r="J176" t="s">
        <v>58</v>
      </c>
      <c r="K176">
        <v>3</v>
      </c>
      <c r="L176" s="2">
        <v>1301.3399999999999</v>
      </c>
      <c r="M176" s="2">
        <v>3904.02</v>
      </c>
      <c r="N176" t="s">
        <v>41</v>
      </c>
      <c r="O176" t="s">
        <v>23</v>
      </c>
    </row>
    <row r="177" spans="1:15">
      <c r="A177">
        <v>176</v>
      </c>
      <c r="B177" s="1">
        <v>45730</v>
      </c>
      <c r="C177">
        <v>2025</v>
      </c>
      <c r="D177" t="s">
        <v>81</v>
      </c>
      <c r="E177" t="s">
        <v>82</v>
      </c>
      <c r="F177" t="s">
        <v>17</v>
      </c>
      <c r="G177" t="s">
        <v>80</v>
      </c>
      <c r="H177" t="s">
        <v>60</v>
      </c>
      <c r="I177" t="s">
        <v>20</v>
      </c>
      <c r="J177" t="s">
        <v>21</v>
      </c>
      <c r="K177">
        <v>3</v>
      </c>
      <c r="L177" s="2">
        <v>1579.12</v>
      </c>
      <c r="M177" s="2">
        <v>4737.3599999999997</v>
      </c>
      <c r="N177" t="s">
        <v>41</v>
      </c>
      <c r="O177" t="s">
        <v>70</v>
      </c>
    </row>
    <row r="178" spans="1:15">
      <c r="A178">
        <v>177</v>
      </c>
      <c r="B178" s="1">
        <v>45818</v>
      </c>
      <c r="C178">
        <v>2025</v>
      </c>
      <c r="D178" t="s">
        <v>101</v>
      </c>
      <c r="E178" t="s">
        <v>61</v>
      </c>
      <c r="F178" t="s">
        <v>26</v>
      </c>
      <c r="G178" t="s">
        <v>33</v>
      </c>
      <c r="H178" t="s">
        <v>73</v>
      </c>
      <c r="I178" t="s">
        <v>28</v>
      </c>
      <c r="J178" t="s">
        <v>29</v>
      </c>
      <c r="K178">
        <v>4</v>
      </c>
      <c r="L178" s="2">
        <v>5614.38</v>
      </c>
      <c r="M178" s="2">
        <v>22457.52</v>
      </c>
      <c r="N178" t="s">
        <v>35</v>
      </c>
      <c r="O178" t="s">
        <v>23</v>
      </c>
    </row>
    <row r="179" spans="1:15">
      <c r="A179">
        <v>178</v>
      </c>
      <c r="B179" s="1">
        <v>45859</v>
      </c>
      <c r="C179">
        <v>2025</v>
      </c>
      <c r="D179" t="s">
        <v>36</v>
      </c>
      <c r="E179" t="s">
        <v>112</v>
      </c>
      <c r="F179" t="s">
        <v>26</v>
      </c>
      <c r="G179" t="s">
        <v>33</v>
      </c>
      <c r="H179" t="s">
        <v>73</v>
      </c>
      <c r="I179" t="s">
        <v>63</v>
      </c>
      <c r="J179" t="s">
        <v>109</v>
      </c>
      <c r="K179">
        <v>2</v>
      </c>
      <c r="L179" s="2">
        <v>771.69</v>
      </c>
      <c r="M179" s="2">
        <v>1543.38</v>
      </c>
      <c r="N179" t="s">
        <v>22</v>
      </c>
      <c r="O179" t="s">
        <v>23</v>
      </c>
    </row>
    <row r="180" spans="1:15">
      <c r="A180">
        <v>179</v>
      </c>
      <c r="B180" s="1">
        <v>45662</v>
      </c>
      <c r="C180">
        <v>2025</v>
      </c>
      <c r="D180" t="s">
        <v>52</v>
      </c>
      <c r="E180" t="s">
        <v>84</v>
      </c>
      <c r="F180" t="s">
        <v>26</v>
      </c>
      <c r="G180" t="s">
        <v>38</v>
      </c>
      <c r="H180" t="s">
        <v>54</v>
      </c>
      <c r="I180" t="s">
        <v>20</v>
      </c>
      <c r="J180" t="s">
        <v>93</v>
      </c>
      <c r="K180">
        <v>2</v>
      </c>
      <c r="L180" s="2">
        <v>1044.8499999999999</v>
      </c>
      <c r="M180" s="2">
        <v>2089.6999999999998</v>
      </c>
      <c r="N180" t="s">
        <v>35</v>
      </c>
      <c r="O180" t="s">
        <v>23</v>
      </c>
    </row>
    <row r="181" spans="1:15">
      <c r="A181">
        <v>180</v>
      </c>
      <c r="B181" s="1">
        <v>45949</v>
      </c>
      <c r="C181">
        <v>2025</v>
      </c>
      <c r="D181" t="s">
        <v>65</v>
      </c>
      <c r="E181" t="s">
        <v>53</v>
      </c>
      <c r="F181" t="s">
        <v>26</v>
      </c>
      <c r="G181" t="s">
        <v>38</v>
      </c>
      <c r="H181" t="s">
        <v>67</v>
      </c>
      <c r="I181" t="s">
        <v>63</v>
      </c>
      <c r="J181" t="s">
        <v>95</v>
      </c>
      <c r="K181">
        <v>3</v>
      </c>
      <c r="L181" s="2">
        <v>2011.77</v>
      </c>
      <c r="M181" s="2">
        <v>6035.31</v>
      </c>
      <c r="N181" t="s">
        <v>41</v>
      </c>
      <c r="O181" t="s">
        <v>42</v>
      </c>
    </row>
    <row r="182" spans="1:15">
      <c r="A182">
        <v>181</v>
      </c>
      <c r="B182" s="1">
        <v>45977</v>
      </c>
      <c r="C182">
        <v>2025</v>
      </c>
      <c r="D182" t="s">
        <v>15</v>
      </c>
      <c r="E182" t="s">
        <v>134</v>
      </c>
      <c r="F182" t="s">
        <v>26</v>
      </c>
      <c r="G182" t="s">
        <v>33</v>
      </c>
      <c r="H182" t="s">
        <v>67</v>
      </c>
      <c r="I182" t="s">
        <v>63</v>
      </c>
      <c r="J182" t="s">
        <v>64</v>
      </c>
      <c r="K182">
        <v>2</v>
      </c>
      <c r="L182" s="2">
        <v>1267.3499999999999</v>
      </c>
      <c r="M182" s="2">
        <v>2534.6999999999998</v>
      </c>
      <c r="N182" t="s">
        <v>41</v>
      </c>
      <c r="O182" t="s">
        <v>23</v>
      </c>
    </row>
    <row r="183" spans="1:15">
      <c r="A183">
        <v>182</v>
      </c>
      <c r="B183" s="1">
        <v>45759</v>
      </c>
      <c r="C183">
        <v>2025</v>
      </c>
      <c r="D183" t="s">
        <v>86</v>
      </c>
      <c r="E183" t="s">
        <v>106</v>
      </c>
      <c r="F183" t="s">
        <v>26</v>
      </c>
      <c r="G183" t="s">
        <v>33</v>
      </c>
      <c r="H183" t="s">
        <v>73</v>
      </c>
      <c r="I183" t="s">
        <v>63</v>
      </c>
      <c r="J183" t="s">
        <v>109</v>
      </c>
      <c r="K183">
        <v>5</v>
      </c>
      <c r="L183" s="2">
        <v>754.92</v>
      </c>
      <c r="M183" s="2">
        <v>3774.6</v>
      </c>
      <c r="N183" t="s">
        <v>22</v>
      </c>
      <c r="O183" t="s">
        <v>23</v>
      </c>
    </row>
    <row r="184" spans="1:15">
      <c r="A184">
        <v>183</v>
      </c>
      <c r="B184" s="1">
        <v>45921</v>
      </c>
      <c r="C184">
        <v>2025</v>
      </c>
      <c r="D184" t="s">
        <v>69</v>
      </c>
      <c r="E184" t="s">
        <v>134</v>
      </c>
      <c r="F184" t="s">
        <v>79</v>
      </c>
      <c r="G184" t="s">
        <v>33</v>
      </c>
      <c r="H184" t="s">
        <v>49</v>
      </c>
      <c r="I184" t="s">
        <v>28</v>
      </c>
      <c r="J184" t="s">
        <v>74</v>
      </c>
      <c r="K184">
        <v>5</v>
      </c>
      <c r="L184" s="2">
        <v>4401.03</v>
      </c>
      <c r="M184" s="2">
        <v>22005.15</v>
      </c>
      <c r="N184" t="s">
        <v>41</v>
      </c>
      <c r="O184" t="s">
        <v>23</v>
      </c>
    </row>
    <row r="185" spans="1:15">
      <c r="A185">
        <v>184</v>
      </c>
      <c r="B185" s="1">
        <v>45918</v>
      </c>
      <c r="C185">
        <v>2025</v>
      </c>
      <c r="D185" t="s">
        <v>69</v>
      </c>
      <c r="E185" t="s">
        <v>127</v>
      </c>
      <c r="F185" t="s">
        <v>26</v>
      </c>
      <c r="G185" t="s">
        <v>33</v>
      </c>
      <c r="H185" t="s">
        <v>19</v>
      </c>
      <c r="I185" t="s">
        <v>63</v>
      </c>
      <c r="J185" t="s">
        <v>109</v>
      </c>
      <c r="K185">
        <v>5</v>
      </c>
      <c r="L185" s="2">
        <v>779.8</v>
      </c>
      <c r="M185" s="2">
        <v>3899</v>
      </c>
      <c r="N185" t="s">
        <v>22</v>
      </c>
      <c r="O185" t="s">
        <v>23</v>
      </c>
    </row>
    <row r="186" spans="1:15">
      <c r="A186">
        <v>185</v>
      </c>
      <c r="B186" s="1">
        <v>46010</v>
      </c>
      <c r="C186">
        <v>2025</v>
      </c>
      <c r="D186" t="s">
        <v>71</v>
      </c>
      <c r="E186" t="s">
        <v>123</v>
      </c>
      <c r="F186" t="s">
        <v>79</v>
      </c>
      <c r="G186" t="s">
        <v>18</v>
      </c>
      <c r="H186" t="s">
        <v>49</v>
      </c>
      <c r="I186" t="s">
        <v>20</v>
      </c>
      <c r="J186" t="s">
        <v>93</v>
      </c>
      <c r="K186">
        <v>3</v>
      </c>
      <c r="L186" s="2">
        <v>1054.99</v>
      </c>
      <c r="M186" s="2">
        <v>3164.97</v>
      </c>
      <c r="N186" t="s">
        <v>30</v>
      </c>
      <c r="O186" t="s">
        <v>23</v>
      </c>
    </row>
    <row r="187" spans="1:15">
      <c r="A187">
        <v>186</v>
      </c>
      <c r="B187" s="1">
        <v>45956</v>
      </c>
      <c r="C187">
        <v>2025</v>
      </c>
      <c r="D187" t="s">
        <v>65</v>
      </c>
      <c r="E187" t="s">
        <v>126</v>
      </c>
      <c r="F187" t="s">
        <v>17</v>
      </c>
      <c r="G187" t="s">
        <v>38</v>
      </c>
      <c r="H187" t="s">
        <v>60</v>
      </c>
      <c r="I187" t="s">
        <v>57</v>
      </c>
      <c r="J187" t="s">
        <v>58</v>
      </c>
      <c r="K187">
        <v>5</v>
      </c>
      <c r="L187" s="2">
        <v>1319.11</v>
      </c>
      <c r="M187" s="2">
        <v>6595.55</v>
      </c>
      <c r="N187" t="s">
        <v>30</v>
      </c>
      <c r="O187" t="s">
        <v>23</v>
      </c>
    </row>
    <row r="188" spans="1:15">
      <c r="A188">
        <v>187</v>
      </c>
      <c r="B188" s="1">
        <v>46016</v>
      </c>
      <c r="C188">
        <v>2025</v>
      </c>
      <c r="D188" t="s">
        <v>71</v>
      </c>
      <c r="E188" t="s">
        <v>96</v>
      </c>
      <c r="F188" t="s">
        <v>26</v>
      </c>
      <c r="G188" t="s">
        <v>80</v>
      </c>
      <c r="H188" t="s">
        <v>27</v>
      </c>
      <c r="I188" t="s">
        <v>20</v>
      </c>
      <c r="J188" t="s">
        <v>34</v>
      </c>
      <c r="K188">
        <v>1</v>
      </c>
      <c r="L188" s="2">
        <v>2183.44</v>
      </c>
      <c r="M188" s="2">
        <v>2183.44</v>
      </c>
      <c r="N188" t="s">
        <v>22</v>
      </c>
      <c r="O188" t="s">
        <v>42</v>
      </c>
    </row>
    <row r="189" spans="1:15">
      <c r="A189">
        <v>188</v>
      </c>
      <c r="B189" s="1">
        <v>45689</v>
      </c>
      <c r="C189">
        <v>2025</v>
      </c>
      <c r="D189" t="s">
        <v>24</v>
      </c>
      <c r="E189" t="s">
        <v>48</v>
      </c>
      <c r="F189" t="s">
        <v>26</v>
      </c>
      <c r="G189" t="s">
        <v>38</v>
      </c>
      <c r="H189" t="s">
        <v>54</v>
      </c>
      <c r="I189" t="s">
        <v>28</v>
      </c>
      <c r="J189" t="s">
        <v>29</v>
      </c>
      <c r="K189">
        <v>5</v>
      </c>
      <c r="L189" s="2">
        <v>5187.75</v>
      </c>
      <c r="M189" s="2">
        <v>25938.75</v>
      </c>
      <c r="N189" t="s">
        <v>30</v>
      </c>
      <c r="O189" t="s">
        <v>23</v>
      </c>
    </row>
    <row r="190" spans="1:15">
      <c r="A190">
        <v>189</v>
      </c>
      <c r="B190" s="1">
        <v>45930</v>
      </c>
      <c r="C190">
        <v>2025</v>
      </c>
      <c r="D190" t="s">
        <v>69</v>
      </c>
      <c r="E190" t="s">
        <v>132</v>
      </c>
      <c r="F190" t="s">
        <v>79</v>
      </c>
      <c r="G190" t="s">
        <v>33</v>
      </c>
      <c r="H190" t="s">
        <v>67</v>
      </c>
      <c r="I190" t="s">
        <v>39</v>
      </c>
      <c r="J190" t="s">
        <v>40</v>
      </c>
      <c r="K190">
        <v>3</v>
      </c>
      <c r="L190" s="2">
        <v>221.89</v>
      </c>
      <c r="M190" s="2">
        <v>665.67</v>
      </c>
      <c r="N190" t="s">
        <v>41</v>
      </c>
      <c r="O190" t="s">
        <v>23</v>
      </c>
    </row>
    <row r="191" spans="1:15">
      <c r="A191">
        <v>190</v>
      </c>
      <c r="B191" s="1">
        <v>45810</v>
      </c>
      <c r="C191">
        <v>2025</v>
      </c>
      <c r="D191" t="s">
        <v>101</v>
      </c>
      <c r="E191" t="s">
        <v>112</v>
      </c>
      <c r="F191" t="s">
        <v>17</v>
      </c>
      <c r="G191" t="s">
        <v>33</v>
      </c>
      <c r="H191" t="s">
        <v>90</v>
      </c>
      <c r="I191" t="s">
        <v>39</v>
      </c>
      <c r="J191" t="s">
        <v>46</v>
      </c>
      <c r="K191">
        <v>4</v>
      </c>
      <c r="L191" s="2">
        <v>341.34</v>
      </c>
      <c r="M191" s="2">
        <v>1365.36</v>
      </c>
      <c r="N191" t="s">
        <v>35</v>
      </c>
      <c r="O191" t="s">
        <v>23</v>
      </c>
    </row>
    <row r="192" spans="1:15">
      <c r="A192">
        <v>191</v>
      </c>
      <c r="B192" s="1">
        <v>45936</v>
      </c>
      <c r="C192">
        <v>2025</v>
      </c>
      <c r="D192" t="s">
        <v>65</v>
      </c>
      <c r="E192" t="s">
        <v>78</v>
      </c>
      <c r="F192" t="s">
        <v>26</v>
      </c>
      <c r="G192" t="s">
        <v>44</v>
      </c>
      <c r="H192" t="s">
        <v>90</v>
      </c>
      <c r="I192" t="s">
        <v>57</v>
      </c>
      <c r="J192" t="s">
        <v>113</v>
      </c>
      <c r="K192">
        <v>3</v>
      </c>
      <c r="L192" s="2">
        <v>2424.42</v>
      </c>
      <c r="M192" s="2">
        <v>7273.26</v>
      </c>
      <c r="N192" t="s">
        <v>35</v>
      </c>
      <c r="O192" t="s">
        <v>23</v>
      </c>
    </row>
    <row r="193" spans="1:15">
      <c r="A193">
        <v>192</v>
      </c>
      <c r="B193" s="1">
        <v>45884</v>
      </c>
      <c r="C193">
        <v>2025</v>
      </c>
      <c r="D193" t="s">
        <v>47</v>
      </c>
      <c r="E193" t="s">
        <v>37</v>
      </c>
      <c r="F193" t="s">
        <v>26</v>
      </c>
      <c r="G193" t="s">
        <v>18</v>
      </c>
      <c r="H193" t="s">
        <v>90</v>
      </c>
      <c r="I193" t="s">
        <v>39</v>
      </c>
      <c r="J193" t="s">
        <v>85</v>
      </c>
      <c r="K193">
        <v>2</v>
      </c>
      <c r="L193" s="2">
        <v>269.02999999999997</v>
      </c>
      <c r="M193" s="2">
        <v>538.05999999999995</v>
      </c>
      <c r="N193" t="s">
        <v>30</v>
      </c>
      <c r="O193" t="s">
        <v>23</v>
      </c>
    </row>
    <row r="194" spans="1:15">
      <c r="A194">
        <v>193</v>
      </c>
      <c r="B194" s="1">
        <v>45958</v>
      </c>
      <c r="C194">
        <v>2025</v>
      </c>
      <c r="D194" t="s">
        <v>65</v>
      </c>
      <c r="E194" t="s">
        <v>115</v>
      </c>
      <c r="F194" t="s">
        <v>26</v>
      </c>
      <c r="G194" t="s">
        <v>80</v>
      </c>
      <c r="H194" t="s">
        <v>62</v>
      </c>
      <c r="I194" t="s">
        <v>28</v>
      </c>
      <c r="J194" t="s">
        <v>29</v>
      </c>
      <c r="K194">
        <v>1</v>
      </c>
      <c r="L194" s="2">
        <v>5406.99</v>
      </c>
      <c r="M194" s="2">
        <v>5406.99</v>
      </c>
      <c r="N194" t="s">
        <v>35</v>
      </c>
      <c r="O194" t="s">
        <v>23</v>
      </c>
    </row>
    <row r="195" spans="1:15">
      <c r="A195">
        <v>194</v>
      </c>
      <c r="B195" s="1">
        <v>45899</v>
      </c>
      <c r="C195">
        <v>2025</v>
      </c>
      <c r="D195" t="s">
        <v>47</v>
      </c>
      <c r="E195" t="s">
        <v>50</v>
      </c>
      <c r="F195" t="s">
        <v>26</v>
      </c>
      <c r="G195" t="s">
        <v>38</v>
      </c>
      <c r="H195" t="s">
        <v>73</v>
      </c>
      <c r="I195" t="s">
        <v>20</v>
      </c>
      <c r="J195" t="s">
        <v>34</v>
      </c>
      <c r="K195">
        <v>1</v>
      </c>
      <c r="L195" s="2">
        <v>2321.58</v>
      </c>
      <c r="M195" s="2">
        <v>2321.58</v>
      </c>
      <c r="N195" t="s">
        <v>30</v>
      </c>
      <c r="O195" t="s">
        <v>23</v>
      </c>
    </row>
    <row r="196" spans="1:15">
      <c r="A196">
        <v>195</v>
      </c>
      <c r="B196" s="1">
        <v>45805</v>
      </c>
      <c r="C196">
        <v>2025</v>
      </c>
      <c r="D196" t="s">
        <v>31</v>
      </c>
      <c r="E196" t="s">
        <v>59</v>
      </c>
      <c r="F196" t="s">
        <v>17</v>
      </c>
      <c r="G196" t="s">
        <v>80</v>
      </c>
      <c r="H196" t="s">
        <v>67</v>
      </c>
      <c r="I196" t="s">
        <v>39</v>
      </c>
      <c r="J196" t="s">
        <v>40</v>
      </c>
      <c r="K196">
        <v>1</v>
      </c>
      <c r="L196" s="2">
        <v>229.72</v>
      </c>
      <c r="M196" s="2">
        <v>229.72</v>
      </c>
      <c r="N196" t="s">
        <v>35</v>
      </c>
      <c r="O196" t="s">
        <v>42</v>
      </c>
    </row>
    <row r="197" spans="1:15">
      <c r="A197">
        <v>196</v>
      </c>
      <c r="B197" s="1">
        <v>45747</v>
      </c>
      <c r="C197">
        <v>2025</v>
      </c>
      <c r="D197" t="s">
        <v>81</v>
      </c>
      <c r="E197" t="s">
        <v>134</v>
      </c>
      <c r="F197" t="s">
        <v>17</v>
      </c>
      <c r="G197" t="s">
        <v>80</v>
      </c>
      <c r="H197" t="s">
        <v>90</v>
      </c>
      <c r="I197" t="s">
        <v>57</v>
      </c>
      <c r="J197" t="s">
        <v>58</v>
      </c>
      <c r="K197">
        <v>1</v>
      </c>
      <c r="L197" s="2">
        <v>1376.5</v>
      </c>
      <c r="M197" s="2">
        <v>1376.5</v>
      </c>
      <c r="N197" t="s">
        <v>35</v>
      </c>
      <c r="O197" t="s">
        <v>23</v>
      </c>
    </row>
    <row r="198" spans="1:15">
      <c r="A198">
        <v>197</v>
      </c>
      <c r="B198" s="1">
        <v>45948</v>
      </c>
      <c r="C198">
        <v>2025</v>
      </c>
      <c r="D198" t="s">
        <v>65</v>
      </c>
      <c r="E198" t="s">
        <v>72</v>
      </c>
      <c r="F198" t="s">
        <v>26</v>
      </c>
      <c r="G198" t="s">
        <v>38</v>
      </c>
      <c r="H198" t="s">
        <v>60</v>
      </c>
      <c r="I198" t="s">
        <v>63</v>
      </c>
      <c r="J198" t="s">
        <v>64</v>
      </c>
      <c r="K198">
        <v>3</v>
      </c>
      <c r="L198" s="2">
        <v>1168</v>
      </c>
      <c r="M198" s="2">
        <v>3504</v>
      </c>
      <c r="N198" t="s">
        <v>22</v>
      </c>
      <c r="O198" t="s">
        <v>23</v>
      </c>
    </row>
    <row r="199" spans="1:15">
      <c r="A199">
        <v>198</v>
      </c>
      <c r="B199" s="1">
        <v>45715</v>
      </c>
      <c r="C199">
        <v>2025</v>
      </c>
      <c r="D199" t="s">
        <v>24</v>
      </c>
      <c r="E199" t="s">
        <v>91</v>
      </c>
      <c r="F199" t="s">
        <v>26</v>
      </c>
      <c r="G199" t="s">
        <v>33</v>
      </c>
      <c r="H199" t="s">
        <v>90</v>
      </c>
      <c r="I199" t="s">
        <v>39</v>
      </c>
      <c r="J199" t="s">
        <v>46</v>
      </c>
      <c r="K199">
        <v>4</v>
      </c>
      <c r="L199" s="2">
        <v>355.21</v>
      </c>
      <c r="M199" s="2">
        <v>1420.84</v>
      </c>
      <c r="N199" t="s">
        <v>30</v>
      </c>
      <c r="O199" t="s">
        <v>23</v>
      </c>
    </row>
    <row r="200" spans="1:15">
      <c r="A200">
        <v>199</v>
      </c>
      <c r="B200" s="1">
        <v>45985</v>
      </c>
      <c r="C200">
        <v>2025</v>
      </c>
      <c r="D200" t="s">
        <v>15</v>
      </c>
      <c r="E200" t="s">
        <v>134</v>
      </c>
      <c r="F200" t="s">
        <v>17</v>
      </c>
      <c r="G200" t="s">
        <v>80</v>
      </c>
      <c r="H200" t="s">
        <v>60</v>
      </c>
      <c r="I200" t="s">
        <v>57</v>
      </c>
      <c r="J200" t="s">
        <v>113</v>
      </c>
      <c r="K200">
        <v>5</v>
      </c>
      <c r="L200" s="2">
        <v>2251.5300000000002</v>
      </c>
      <c r="M200" s="2">
        <v>11257.65</v>
      </c>
      <c r="N200" t="s">
        <v>22</v>
      </c>
      <c r="O200" t="s">
        <v>23</v>
      </c>
    </row>
    <row r="201" spans="1:15">
      <c r="A201">
        <v>200</v>
      </c>
      <c r="B201" s="1">
        <v>45785</v>
      </c>
      <c r="C201">
        <v>2025</v>
      </c>
      <c r="D201" t="s">
        <v>31</v>
      </c>
      <c r="E201" t="s">
        <v>88</v>
      </c>
      <c r="F201" t="s">
        <v>26</v>
      </c>
      <c r="G201" t="s">
        <v>33</v>
      </c>
      <c r="H201" t="s">
        <v>90</v>
      </c>
      <c r="I201" t="s">
        <v>20</v>
      </c>
      <c r="J201" t="s">
        <v>97</v>
      </c>
      <c r="K201">
        <v>4</v>
      </c>
      <c r="L201" s="2">
        <v>2903.82</v>
      </c>
      <c r="M201" s="2">
        <v>11615.28</v>
      </c>
      <c r="N201" t="s">
        <v>35</v>
      </c>
      <c r="O201" t="s">
        <v>23</v>
      </c>
    </row>
    <row r="202" spans="1:15">
      <c r="A202">
        <v>201</v>
      </c>
      <c r="B202" s="1">
        <v>45842</v>
      </c>
      <c r="C202">
        <v>2025</v>
      </c>
      <c r="D202" t="s">
        <v>36</v>
      </c>
      <c r="E202" t="s">
        <v>66</v>
      </c>
      <c r="F202" t="s">
        <v>26</v>
      </c>
      <c r="G202" t="s">
        <v>18</v>
      </c>
      <c r="H202" t="s">
        <v>90</v>
      </c>
      <c r="I202" t="s">
        <v>28</v>
      </c>
      <c r="J202" t="s">
        <v>55</v>
      </c>
      <c r="K202">
        <v>1</v>
      </c>
      <c r="L202" s="2">
        <v>3484.47</v>
      </c>
      <c r="M202" s="2">
        <v>3484.47</v>
      </c>
      <c r="N202" t="s">
        <v>35</v>
      </c>
      <c r="O202" t="s">
        <v>23</v>
      </c>
    </row>
    <row r="203" spans="1:15">
      <c r="A203">
        <v>202</v>
      </c>
      <c r="B203" s="1">
        <v>45809</v>
      </c>
      <c r="C203">
        <v>2025</v>
      </c>
      <c r="D203" t="s">
        <v>101</v>
      </c>
      <c r="E203" t="s">
        <v>118</v>
      </c>
      <c r="F203" t="s">
        <v>26</v>
      </c>
      <c r="G203" t="s">
        <v>18</v>
      </c>
      <c r="H203" t="s">
        <v>54</v>
      </c>
      <c r="I203" t="s">
        <v>39</v>
      </c>
      <c r="J203" t="s">
        <v>46</v>
      </c>
      <c r="K203">
        <v>2</v>
      </c>
      <c r="L203" s="2">
        <v>368.15</v>
      </c>
      <c r="M203" s="2">
        <v>736.3</v>
      </c>
      <c r="N203" t="s">
        <v>22</v>
      </c>
      <c r="O203" t="s">
        <v>23</v>
      </c>
    </row>
    <row r="204" spans="1:15">
      <c r="A204">
        <v>203</v>
      </c>
      <c r="B204" s="1">
        <v>45899</v>
      </c>
      <c r="C204">
        <v>2025</v>
      </c>
      <c r="D204" t="s">
        <v>47</v>
      </c>
      <c r="E204" t="s">
        <v>133</v>
      </c>
      <c r="F204" t="s">
        <v>79</v>
      </c>
      <c r="G204" t="s">
        <v>44</v>
      </c>
      <c r="H204" t="s">
        <v>67</v>
      </c>
      <c r="I204" t="s">
        <v>63</v>
      </c>
      <c r="J204" t="s">
        <v>95</v>
      </c>
      <c r="K204">
        <v>2</v>
      </c>
      <c r="L204" s="2">
        <v>2042.26</v>
      </c>
      <c r="M204" s="2">
        <v>4084.52</v>
      </c>
      <c r="N204" t="s">
        <v>22</v>
      </c>
      <c r="O204" t="s">
        <v>23</v>
      </c>
    </row>
    <row r="205" spans="1:15">
      <c r="A205">
        <v>204</v>
      </c>
      <c r="B205" s="1">
        <v>45843</v>
      </c>
      <c r="C205">
        <v>2025</v>
      </c>
      <c r="D205" t="s">
        <v>36</v>
      </c>
      <c r="E205" t="s">
        <v>111</v>
      </c>
      <c r="F205" t="s">
        <v>26</v>
      </c>
      <c r="G205" t="s">
        <v>18</v>
      </c>
      <c r="H205" t="s">
        <v>67</v>
      </c>
      <c r="I205" t="s">
        <v>20</v>
      </c>
      <c r="J205" t="s">
        <v>21</v>
      </c>
      <c r="K205">
        <v>1</v>
      </c>
      <c r="L205" s="2">
        <v>1558.14</v>
      </c>
      <c r="M205" s="2">
        <v>1558.14</v>
      </c>
      <c r="N205" t="s">
        <v>30</v>
      </c>
      <c r="O205" t="s">
        <v>23</v>
      </c>
    </row>
    <row r="206" spans="1:15">
      <c r="A206">
        <v>205</v>
      </c>
      <c r="B206" s="1">
        <v>45924</v>
      </c>
      <c r="C206">
        <v>2025</v>
      </c>
      <c r="D206" t="s">
        <v>69</v>
      </c>
      <c r="E206" t="s">
        <v>83</v>
      </c>
      <c r="F206" t="s">
        <v>26</v>
      </c>
      <c r="G206" t="s">
        <v>18</v>
      </c>
      <c r="H206" t="s">
        <v>73</v>
      </c>
      <c r="I206" t="s">
        <v>57</v>
      </c>
      <c r="J206" t="s">
        <v>98</v>
      </c>
      <c r="K206">
        <v>2</v>
      </c>
      <c r="L206" s="2">
        <v>922.4</v>
      </c>
      <c r="M206" s="2">
        <v>1844.8</v>
      </c>
      <c r="N206" t="s">
        <v>35</v>
      </c>
      <c r="O206" t="s">
        <v>23</v>
      </c>
    </row>
    <row r="207" spans="1:15">
      <c r="A207">
        <v>206</v>
      </c>
      <c r="B207" s="1">
        <v>45920</v>
      </c>
      <c r="C207">
        <v>2025</v>
      </c>
      <c r="D207" t="s">
        <v>69</v>
      </c>
      <c r="E207" t="s">
        <v>61</v>
      </c>
      <c r="F207" t="s">
        <v>17</v>
      </c>
      <c r="G207" t="s">
        <v>33</v>
      </c>
      <c r="H207" t="s">
        <v>62</v>
      </c>
      <c r="I207" t="s">
        <v>57</v>
      </c>
      <c r="J207" t="s">
        <v>113</v>
      </c>
      <c r="K207">
        <v>5</v>
      </c>
      <c r="L207" s="2">
        <v>2176.9899999999998</v>
      </c>
      <c r="M207" s="2">
        <v>10884.95</v>
      </c>
      <c r="N207" t="s">
        <v>22</v>
      </c>
      <c r="O207" t="s">
        <v>23</v>
      </c>
    </row>
    <row r="208" spans="1:15">
      <c r="A208">
        <v>207</v>
      </c>
      <c r="B208" s="1">
        <v>45659</v>
      </c>
      <c r="C208">
        <v>2025</v>
      </c>
      <c r="D208" t="s">
        <v>52</v>
      </c>
      <c r="E208" t="s">
        <v>103</v>
      </c>
      <c r="F208" t="s">
        <v>26</v>
      </c>
      <c r="G208" t="s">
        <v>44</v>
      </c>
      <c r="H208" t="s">
        <v>19</v>
      </c>
      <c r="I208" t="s">
        <v>28</v>
      </c>
      <c r="J208" t="s">
        <v>55</v>
      </c>
      <c r="K208">
        <v>1</v>
      </c>
      <c r="L208" s="2">
        <v>3466.96</v>
      </c>
      <c r="M208" s="2">
        <v>3466.96</v>
      </c>
      <c r="N208" t="s">
        <v>22</v>
      </c>
      <c r="O208" t="s">
        <v>23</v>
      </c>
    </row>
    <row r="209" spans="1:15">
      <c r="A209">
        <v>208</v>
      </c>
      <c r="B209" s="1">
        <v>45867</v>
      </c>
      <c r="C209">
        <v>2025</v>
      </c>
      <c r="D209" t="s">
        <v>36</v>
      </c>
      <c r="E209" t="s">
        <v>111</v>
      </c>
      <c r="F209" t="s">
        <v>26</v>
      </c>
      <c r="G209" t="s">
        <v>38</v>
      </c>
      <c r="H209" t="s">
        <v>27</v>
      </c>
      <c r="I209" t="s">
        <v>28</v>
      </c>
      <c r="J209" t="s">
        <v>29</v>
      </c>
      <c r="K209">
        <v>4</v>
      </c>
      <c r="L209" s="2">
        <v>5219.17</v>
      </c>
      <c r="M209" s="2">
        <v>20876.68</v>
      </c>
      <c r="N209" t="s">
        <v>35</v>
      </c>
      <c r="O209" t="s">
        <v>23</v>
      </c>
    </row>
    <row r="210" spans="1:15">
      <c r="A210">
        <v>209</v>
      </c>
      <c r="B210" s="1">
        <v>45996</v>
      </c>
      <c r="C210">
        <v>2025</v>
      </c>
      <c r="D210" t="s">
        <v>71</v>
      </c>
      <c r="E210" t="s">
        <v>37</v>
      </c>
      <c r="F210" t="s">
        <v>26</v>
      </c>
      <c r="G210" t="s">
        <v>80</v>
      </c>
      <c r="H210" t="s">
        <v>45</v>
      </c>
      <c r="I210" t="s">
        <v>63</v>
      </c>
      <c r="J210" t="s">
        <v>95</v>
      </c>
      <c r="K210">
        <v>3</v>
      </c>
      <c r="L210" s="2">
        <v>1907.52</v>
      </c>
      <c r="M210" s="2">
        <v>5722.56</v>
      </c>
      <c r="N210" t="s">
        <v>35</v>
      </c>
      <c r="O210" t="s">
        <v>23</v>
      </c>
    </row>
    <row r="211" spans="1:15">
      <c r="A211">
        <v>210</v>
      </c>
      <c r="B211" s="1">
        <v>45810</v>
      </c>
      <c r="C211">
        <v>2025</v>
      </c>
      <c r="D211" t="s">
        <v>101</v>
      </c>
      <c r="E211" t="s">
        <v>43</v>
      </c>
      <c r="F211" t="s">
        <v>26</v>
      </c>
      <c r="G211" t="s">
        <v>33</v>
      </c>
      <c r="H211" t="s">
        <v>60</v>
      </c>
      <c r="I211" t="s">
        <v>57</v>
      </c>
      <c r="J211" t="s">
        <v>113</v>
      </c>
      <c r="K211">
        <v>5</v>
      </c>
      <c r="L211" s="2">
        <v>2265.69</v>
      </c>
      <c r="M211" s="2">
        <v>11328.45</v>
      </c>
      <c r="N211" t="s">
        <v>41</v>
      </c>
      <c r="O211" t="s">
        <v>23</v>
      </c>
    </row>
    <row r="212" spans="1:15">
      <c r="A212">
        <v>211</v>
      </c>
      <c r="B212" s="1">
        <v>45715</v>
      </c>
      <c r="C212">
        <v>2025</v>
      </c>
      <c r="D212" t="s">
        <v>24</v>
      </c>
      <c r="E212" t="s">
        <v>68</v>
      </c>
      <c r="F212" t="s">
        <v>79</v>
      </c>
      <c r="G212" t="s">
        <v>80</v>
      </c>
      <c r="H212" t="s">
        <v>45</v>
      </c>
      <c r="I212" t="s">
        <v>20</v>
      </c>
      <c r="J212" t="s">
        <v>93</v>
      </c>
      <c r="K212">
        <v>5</v>
      </c>
      <c r="L212" s="2">
        <v>1030.8900000000001</v>
      </c>
      <c r="M212" s="2">
        <v>5154.45</v>
      </c>
      <c r="N212" t="s">
        <v>35</v>
      </c>
      <c r="O212" t="s">
        <v>23</v>
      </c>
    </row>
    <row r="213" spans="1:15">
      <c r="A213">
        <v>212</v>
      </c>
      <c r="B213" s="1">
        <v>45675</v>
      </c>
      <c r="C213">
        <v>2025</v>
      </c>
      <c r="D213" t="s">
        <v>52</v>
      </c>
      <c r="E213" t="s">
        <v>134</v>
      </c>
      <c r="F213" t="s">
        <v>26</v>
      </c>
      <c r="G213" t="s">
        <v>18</v>
      </c>
      <c r="H213" t="s">
        <v>45</v>
      </c>
      <c r="I213" t="s">
        <v>57</v>
      </c>
      <c r="J213" t="s">
        <v>98</v>
      </c>
      <c r="K213">
        <v>2</v>
      </c>
      <c r="L213" s="2">
        <v>924.95</v>
      </c>
      <c r="M213" s="2">
        <v>1849.9</v>
      </c>
      <c r="N213" t="s">
        <v>35</v>
      </c>
      <c r="O213" t="s">
        <v>23</v>
      </c>
    </row>
    <row r="214" spans="1:15">
      <c r="A214">
        <v>213</v>
      </c>
      <c r="B214" s="1">
        <v>45806</v>
      </c>
      <c r="C214">
        <v>2025</v>
      </c>
      <c r="D214" t="s">
        <v>31</v>
      </c>
      <c r="E214" t="s">
        <v>120</v>
      </c>
      <c r="F214" t="s">
        <v>17</v>
      </c>
      <c r="G214" t="s">
        <v>80</v>
      </c>
      <c r="H214" t="s">
        <v>90</v>
      </c>
      <c r="I214" t="s">
        <v>28</v>
      </c>
      <c r="J214" t="s">
        <v>74</v>
      </c>
      <c r="K214">
        <v>5</v>
      </c>
      <c r="L214" s="2">
        <v>4551.8599999999997</v>
      </c>
      <c r="M214" s="2">
        <v>22759.3</v>
      </c>
      <c r="N214" t="s">
        <v>30</v>
      </c>
      <c r="O214" t="s">
        <v>70</v>
      </c>
    </row>
    <row r="215" spans="1:15">
      <c r="A215">
        <v>214</v>
      </c>
      <c r="B215" s="1">
        <v>45924</v>
      </c>
      <c r="C215">
        <v>2025</v>
      </c>
      <c r="D215" t="s">
        <v>69</v>
      </c>
      <c r="E215" t="s">
        <v>25</v>
      </c>
      <c r="F215" t="s">
        <v>79</v>
      </c>
      <c r="G215" t="s">
        <v>80</v>
      </c>
      <c r="H215" t="s">
        <v>27</v>
      </c>
      <c r="I215" t="s">
        <v>28</v>
      </c>
      <c r="J215" t="s">
        <v>51</v>
      </c>
      <c r="K215">
        <v>3</v>
      </c>
      <c r="L215" s="2">
        <v>6810.16</v>
      </c>
      <c r="M215" s="2">
        <v>20430.48</v>
      </c>
      <c r="N215" t="s">
        <v>22</v>
      </c>
      <c r="O215" t="s">
        <v>23</v>
      </c>
    </row>
    <row r="216" spans="1:15">
      <c r="A216">
        <v>215</v>
      </c>
      <c r="B216" s="1">
        <v>45834</v>
      </c>
      <c r="C216">
        <v>2025</v>
      </c>
      <c r="D216" t="s">
        <v>101</v>
      </c>
      <c r="E216" t="s">
        <v>94</v>
      </c>
      <c r="F216" t="s">
        <v>26</v>
      </c>
      <c r="G216" t="s">
        <v>18</v>
      </c>
      <c r="H216" t="s">
        <v>73</v>
      </c>
      <c r="I216" t="s">
        <v>57</v>
      </c>
      <c r="J216" t="s">
        <v>110</v>
      </c>
      <c r="K216">
        <v>4</v>
      </c>
      <c r="L216" s="2">
        <v>1878.09</v>
      </c>
      <c r="M216" s="2">
        <v>7512.36</v>
      </c>
      <c r="N216" t="s">
        <v>30</v>
      </c>
      <c r="O216" t="s">
        <v>42</v>
      </c>
    </row>
    <row r="217" spans="1:15">
      <c r="A217">
        <v>216</v>
      </c>
      <c r="B217" s="1">
        <v>45811</v>
      </c>
      <c r="C217">
        <v>2025</v>
      </c>
      <c r="D217" t="s">
        <v>101</v>
      </c>
      <c r="E217" t="s">
        <v>96</v>
      </c>
      <c r="F217" t="s">
        <v>17</v>
      </c>
      <c r="G217" t="s">
        <v>80</v>
      </c>
      <c r="H217" t="s">
        <v>27</v>
      </c>
      <c r="I217" t="s">
        <v>28</v>
      </c>
      <c r="J217" t="s">
        <v>51</v>
      </c>
      <c r="K217">
        <v>1</v>
      </c>
      <c r="L217" s="2">
        <v>7051.4</v>
      </c>
      <c r="M217" s="2">
        <v>7051.4</v>
      </c>
      <c r="N217" t="s">
        <v>30</v>
      </c>
      <c r="O217" t="s">
        <v>23</v>
      </c>
    </row>
    <row r="218" spans="1:15">
      <c r="A218">
        <v>217</v>
      </c>
      <c r="B218" s="1">
        <v>45827</v>
      </c>
      <c r="C218">
        <v>2025</v>
      </c>
      <c r="D218" t="s">
        <v>101</v>
      </c>
      <c r="E218" t="s">
        <v>84</v>
      </c>
      <c r="F218" t="s">
        <v>17</v>
      </c>
      <c r="G218" t="s">
        <v>44</v>
      </c>
      <c r="H218" t="s">
        <v>90</v>
      </c>
      <c r="I218" t="s">
        <v>20</v>
      </c>
      <c r="J218" t="s">
        <v>93</v>
      </c>
      <c r="K218">
        <v>3</v>
      </c>
      <c r="L218" s="2">
        <v>950.14</v>
      </c>
      <c r="M218" s="2">
        <v>2850.42</v>
      </c>
      <c r="N218" t="s">
        <v>22</v>
      </c>
      <c r="O218" t="s">
        <v>23</v>
      </c>
    </row>
    <row r="219" spans="1:15">
      <c r="A219">
        <v>218</v>
      </c>
      <c r="B219" s="1">
        <v>45966</v>
      </c>
      <c r="C219">
        <v>2025</v>
      </c>
      <c r="D219" t="s">
        <v>15</v>
      </c>
      <c r="E219" t="s">
        <v>75</v>
      </c>
      <c r="F219" t="s">
        <v>17</v>
      </c>
      <c r="G219" t="s">
        <v>18</v>
      </c>
      <c r="H219" t="s">
        <v>45</v>
      </c>
      <c r="I219" t="s">
        <v>20</v>
      </c>
      <c r="J219" t="s">
        <v>21</v>
      </c>
      <c r="K219">
        <v>2</v>
      </c>
      <c r="L219" s="2">
        <v>1553.8</v>
      </c>
      <c r="M219" s="2">
        <v>3107.6</v>
      </c>
      <c r="N219" t="s">
        <v>22</v>
      </c>
      <c r="O219" t="s">
        <v>23</v>
      </c>
    </row>
    <row r="220" spans="1:15">
      <c r="A220">
        <v>219</v>
      </c>
      <c r="B220" s="1">
        <v>45828</v>
      </c>
      <c r="C220">
        <v>2025</v>
      </c>
      <c r="D220" t="s">
        <v>101</v>
      </c>
      <c r="E220" t="s">
        <v>56</v>
      </c>
      <c r="F220" t="s">
        <v>26</v>
      </c>
      <c r="G220" t="s">
        <v>38</v>
      </c>
      <c r="H220" t="s">
        <v>45</v>
      </c>
      <c r="I220" t="s">
        <v>39</v>
      </c>
      <c r="J220" t="s">
        <v>76</v>
      </c>
      <c r="K220">
        <v>2</v>
      </c>
      <c r="L220" s="2">
        <v>135.77000000000001</v>
      </c>
      <c r="M220" s="2">
        <v>271.54000000000002</v>
      </c>
      <c r="N220" t="s">
        <v>30</v>
      </c>
      <c r="O220" t="s">
        <v>23</v>
      </c>
    </row>
    <row r="221" spans="1:15">
      <c r="A221">
        <v>220</v>
      </c>
      <c r="B221" s="1">
        <v>45780</v>
      </c>
      <c r="C221">
        <v>2025</v>
      </c>
      <c r="D221" t="s">
        <v>31</v>
      </c>
      <c r="E221" t="s">
        <v>37</v>
      </c>
      <c r="F221" t="s">
        <v>17</v>
      </c>
      <c r="G221" t="s">
        <v>33</v>
      </c>
      <c r="H221" t="s">
        <v>90</v>
      </c>
      <c r="I221" t="s">
        <v>63</v>
      </c>
      <c r="J221" t="s">
        <v>89</v>
      </c>
      <c r="K221">
        <v>3</v>
      </c>
      <c r="L221" s="2">
        <v>3153.19</v>
      </c>
      <c r="M221" s="2">
        <v>9459.57</v>
      </c>
      <c r="N221" t="s">
        <v>41</v>
      </c>
      <c r="O221" t="s">
        <v>23</v>
      </c>
    </row>
    <row r="222" spans="1:15">
      <c r="A222">
        <v>221</v>
      </c>
      <c r="B222" s="1">
        <v>45912</v>
      </c>
      <c r="C222">
        <v>2025</v>
      </c>
      <c r="D222" t="s">
        <v>69</v>
      </c>
      <c r="E222" t="s">
        <v>116</v>
      </c>
      <c r="F222" t="s">
        <v>79</v>
      </c>
      <c r="G222" t="s">
        <v>33</v>
      </c>
      <c r="H222" t="s">
        <v>54</v>
      </c>
      <c r="I222" t="s">
        <v>57</v>
      </c>
      <c r="J222" t="s">
        <v>98</v>
      </c>
      <c r="K222">
        <v>4</v>
      </c>
      <c r="L222" s="2">
        <v>927.22</v>
      </c>
      <c r="M222" s="2">
        <v>3708.88</v>
      </c>
      <c r="N222" t="s">
        <v>22</v>
      </c>
      <c r="O222" t="s">
        <v>23</v>
      </c>
    </row>
    <row r="223" spans="1:15">
      <c r="A223">
        <v>222</v>
      </c>
      <c r="B223" s="1">
        <v>45771</v>
      </c>
      <c r="C223">
        <v>2025</v>
      </c>
      <c r="D223" t="s">
        <v>86</v>
      </c>
      <c r="E223" t="s">
        <v>75</v>
      </c>
      <c r="F223" t="s">
        <v>17</v>
      </c>
      <c r="G223" t="s">
        <v>38</v>
      </c>
      <c r="H223" t="s">
        <v>90</v>
      </c>
      <c r="I223" t="s">
        <v>28</v>
      </c>
      <c r="J223" t="s">
        <v>55</v>
      </c>
      <c r="K223">
        <v>3</v>
      </c>
      <c r="L223" s="2">
        <v>3521.38</v>
      </c>
      <c r="M223" s="2">
        <v>10564.14</v>
      </c>
      <c r="N223" t="s">
        <v>30</v>
      </c>
      <c r="O223" t="s">
        <v>23</v>
      </c>
    </row>
    <row r="224" spans="1:15">
      <c r="A224">
        <v>223</v>
      </c>
      <c r="B224" s="1">
        <v>45775</v>
      </c>
      <c r="C224">
        <v>2025</v>
      </c>
      <c r="D224" t="s">
        <v>86</v>
      </c>
      <c r="E224" t="s">
        <v>120</v>
      </c>
      <c r="F224" t="s">
        <v>26</v>
      </c>
      <c r="G224" t="s">
        <v>38</v>
      </c>
      <c r="H224" t="s">
        <v>73</v>
      </c>
      <c r="I224" t="s">
        <v>57</v>
      </c>
      <c r="J224" t="s">
        <v>58</v>
      </c>
      <c r="K224">
        <v>4</v>
      </c>
      <c r="L224" s="2">
        <v>1306.8900000000001</v>
      </c>
      <c r="M224" s="2">
        <v>5227.5600000000004</v>
      </c>
      <c r="N224" t="s">
        <v>22</v>
      </c>
      <c r="O224" t="s">
        <v>23</v>
      </c>
    </row>
    <row r="225" spans="1:15">
      <c r="A225">
        <v>224</v>
      </c>
      <c r="B225" s="1">
        <v>45838</v>
      </c>
      <c r="C225">
        <v>2025</v>
      </c>
      <c r="D225" t="s">
        <v>101</v>
      </c>
      <c r="E225" t="s">
        <v>108</v>
      </c>
      <c r="F225" t="s">
        <v>79</v>
      </c>
      <c r="G225" t="s">
        <v>44</v>
      </c>
      <c r="H225" t="s">
        <v>67</v>
      </c>
      <c r="I225" t="s">
        <v>28</v>
      </c>
      <c r="J225" t="s">
        <v>29</v>
      </c>
      <c r="K225">
        <v>5</v>
      </c>
      <c r="L225" s="2">
        <v>5291.57</v>
      </c>
      <c r="M225" s="2">
        <v>26457.85</v>
      </c>
      <c r="N225" t="s">
        <v>35</v>
      </c>
      <c r="O225" t="s">
        <v>42</v>
      </c>
    </row>
    <row r="226" spans="1:15">
      <c r="A226">
        <v>225</v>
      </c>
      <c r="B226" s="1">
        <v>45696</v>
      </c>
      <c r="C226">
        <v>2025</v>
      </c>
      <c r="D226" t="s">
        <v>24</v>
      </c>
      <c r="E226" t="s">
        <v>119</v>
      </c>
      <c r="F226" t="s">
        <v>26</v>
      </c>
      <c r="G226" t="s">
        <v>80</v>
      </c>
      <c r="H226" t="s">
        <v>62</v>
      </c>
      <c r="I226" t="s">
        <v>20</v>
      </c>
      <c r="J226" t="s">
        <v>21</v>
      </c>
      <c r="K226">
        <v>4</v>
      </c>
      <c r="L226" s="2">
        <v>1433.79</v>
      </c>
      <c r="M226" s="2">
        <v>5735.16</v>
      </c>
      <c r="N226" t="s">
        <v>30</v>
      </c>
      <c r="O226" t="s">
        <v>23</v>
      </c>
    </row>
    <row r="227" spans="1:15">
      <c r="A227">
        <v>226</v>
      </c>
      <c r="B227" s="1">
        <v>45849</v>
      </c>
      <c r="C227">
        <v>2025</v>
      </c>
      <c r="D227" t="s">
        <v>36</v>
      </c>
      <c r="E227" t="s">
        <v>37</v>
      </c>
      <c r="F227" t="s">
        <v>17</v>
      </c>
      <c r="G227" t="s">
        <v>44</v>
      </c>
      <c r="H227" t="s">
        <v>62</v>
      </c>
      <c r="I227" t="s">
        <v>20</v>
      </c>
      <c r="J227" t="s">
        <v>93</v>
      </c>
      <c r="K227">
        <v>4</v>
      </c>
      <c r="L227" s="2">
        <v>940.95</v>
      </c>
      <c r="M227" s="2">
        <v>3763.8</v>
      </c>
      <c r="N227" t="s">
        <v>41</v>
      </c>
      <c r="O227" t="s">
        <v>23</v>
      </c>
    </row>
    <row r="228" spans="1:15">
      <c r="A228">
        <v>227</v>
      </c>
      <c r="B228" s="1">
        <v>45804</v>
      </c>
      <c r="C228">
        <v>2025</v>
      </c>
      <c r="D228" t="s">
        <v>31</v>
      </c>
      <c r="E228" t="s">
        <v>114</v>
      </c>
      <c r="F228" t="s">
        <v>26</v>
      </c>
      <c r="G228" t="s">
        <v>80</v>
      </c>
      <c r="H228" t="s">
        <v>45</v>
      </c>
      <c r="I228" t="s">
        <v>20</v>
      </c>
      <c r="J228" t="s">
        <v>93</v>
      </c>
      <c r="K228">
        <v>2</v>
      </c>
      <c r="L228" s="2">
        <v>951.89</v>
      </c>
      <c r="M228" s="2">
        <v>1903.78</v>
      </c>
      <c r="N228" t="s">
        <v>41</v>
      </c>
      <c r="O228" t="s">
        <v>23</v>
      </c>
    </row>
    <row r="229" spans="1:15">
      <c r="A229">
        <v>228</v>
      </c>
      <c r="B229" s="1">
        <v>45794</v>
      </c>
      <c r="C229">
        <v>2025</v>
      </c>
      <c r="D229" t="s">
        <v>31</v>
      </c>
      <c r="E229" t="s">
        <v>61</v>
      </c>
      <c r="F229" t="s">
        <v>17</v>
      </c>
      <c r="G229" t="s">
        <v>80</v>
      </c>
      <c r="H229" t="s">
        <v>90</v>
      </c>
      <c r="I229" t="s">
        <v>57</v>
      </c>
      <c r="J229" t="s">
        <v>98</v>
      </c>
      <c r="K229">
        <v>3</v>
      </c>
      <c r="L229" s="2">
        <v>948.55</v>
      </c>
      <c r="M229" s="2">
        <v>2845.65</v>
      </c>
      <c r="N229" t="s">
        <v>35</v>
      </c>
      <c r="O229" t="s">
        <v>23</v>
      </c>
    </row>
    <row r="230" spans="1:15">
      <c r="A230">
        <v>229</v>
      </c>
      <c r="B230" s="1">
        <v>45990</v>
      </c>
      <c r="C230">
        <v>2025</v>
      </c>
      <c r="D230" t="s">
        <v>15</v>
      </c>
      <c r="E230" t="s">
        <v>25</v>
      </c>
      <c r="F230" t="s">
        <v>26</v>
      </c>
      <c r="G230" t="s">
        <v>44</v>
      </c>
      <c r="H230" t="s">
        <v>60</v>
      </c>
      <c r="I230" t="s">
        <v>20</v>
      </c>
      <c r="J230" t="s">
        <v>21</v>
      </c>
      <c r="K230">
        <v>4</v>
      </c>
      <c r="L230" s="2">
        <v>1477.28</v>
      </c>
      <c r="M230" s="2">
        <v>5909.12</v>
      </c>
      <c r="N230" t="s">
        <v>35</v>
      </c>
      <c r="O230" t="s">
        <v>23</v>
      </c>
    </row>
    <row r="231" spans="1:15">
      <c r="A231">
        <v>230</v>
      </c>
      <c r="B231" s="1">
        <v>45880</v>
      </c>
      <c r="C231">
        <v>2025</v>
      </c>
      <c r="D231" t="s">
        <v>47</v>
      </c>
      <c r="E231" t="s">
        <v>43</v>
      </c>
      <c r="F231" t="s">
        <v>26</v>
      </c>
      <c r="G231" t="s">
        <v>18</v>
      </c>
      <c r="H231" t="s">
        <v>73</v>
      </c>
      <c r="I231" t="s">
        <v>39</v>
      </c>
      <c r="J231" t="s">
        <v>76</v>
      </c>
      <c r="K231">
        <v>5</v>
      </c>
      <c r="L231" s="2">
        <v>135.49</v>
      </c>
      <c r="M231" s="2">
        <v>677.45</v>
      </c>
      <c r="N231" t="s">
        <v>41</v>
      </c>
      <c r="O231" t="s">
        <v>23</v>
      </c>
    </row>
    <row r="232" spans="1:15">
      <c r="A232">
        <v>231</v>
      </c>
      <c r="B232" s="1">
        <v>45696</v>
      </c>
      <c r="C232">
        <v>2025</v>
      </c>
      <c r="D232" t="s">
        <v>24</v>
      </c>
      <c r="E232" t="s">
        <v>116</v>
      </c>
      <c r="F232" t="s">
        <v>26</v>
      </c>
      <c r="G232" t="s">
        <v>80</v>
      </c>
      <c r="H232" t="s">
        <v>49</v>
      </c>
      <c r="I232" t="s">
        <v>39</v>
      </c>
      <c r="J232" t="s">
        <v>76</v>
      </c>
      <c r="K232">
        <v>2</v>
      </c>
      <c r="L232" s="2">
        <v>135.63999999999999</v>
      </c>
      <c r="M232" s="2">
        <v>271.27999999999997</v>
      </c>
      <c r="N232" t="s">
        <v>30</v>
      </c>
      <c r="O232" t="s">
        <v>23</v>
      </c>
    </row>
    <row r="233" spans="1:15">
      <c r="A233">
        <v>232</v>
      </c>
      <c r="B233" s="1">
        <v>46022</v>
      </c>
      <c r="C233">
        <v>2025</v>
      </c>
      <c r="D233" t="s">
        <v>71</v>
      </c>
      <c r="E233" t="s">
        <v>107</v>
      </c>
      <c r="F233" t="s">
        <v>17</v>
      </c>
      <c r="G233" t="s">
        <v>38</v>
      </c>
      <c r="H233" t="s">
        <v>67</v>
      </c>
      <c r="I233" t="s">
        <v>57</v>
      </c>
      <c r="J233" t="s">
        <v>98</v>
      </c>
      <c r="K233">
        <v>3</v>
      </c>
      <c r="L233" s="2">
        <v>862.59</v>
      </c>
      <c r="M233" s="2">
        <v>2587.77</v>
      </c>
      <c r="N233" t="s">
        <v>41</v>
      </c>
      <c r="O233" t="s">
        <v>23</v>
      </c>
    </row>
    <row r="234" spans="1:15">
      <c r="A234">
        <v>233</v>
      </c>
      <c r="B234" s="1">
        <v>45729</v>
      </c>
      <c r="C234">
        <v>2025</v>
      </c>
      <c r="D234" t="s">
        <v>81</v>
      </c>
      <c r="E234" t="s">
        <v>43</v>
      </c>
      <c r="F234" t="s">
        <v>17</v>
      </c>
      <c r="G234" t="s">
        <v>33</v>
      </c>
      <c r="H234" t="s">
        <v>49</v>
      </c>
      <c r="I234" t="s">
        <v>20</v>
      </c>
      <c r="J234" t="s">
        <v>97</v>
      </c>
      <c r="K234">
        <v>1</v>
      </c>
      <c r="L234" s="2">
        <v>2854.22</v>
      </c>
      <c r="M234" s="2">
        <v>2854.22</v>
      </c>
      <c r="N234" t="s">
        <v>22</v>
      </c>
      <c r="O234" t="s">
        <v>70</v>
      </c>
    </row>
    <row r="235" spans="1:15">
      <c r="A235">
        <v>234</v>
      </c>
      <c r="B235" s="1">
        <v>45825</v>
      </c>
      <c r="C235">
        <v>2025</v>
      </c>
      <c r="D235" t="s">
        <v>101</v>
      </c>
      <c r="E235" t="s">
        <v>112</v>
      </c>
      <c r="F235" t="s">
        <v>17</v>
      </c>
      <c r="G235" t="s">
        <v>38</v>
      </c>
      <c r="H235" t="s">
        <v>27</v>
      </c>
      <c r="I235" t="s">
        <v>20</v>
      </c>
      <c r="J235" t="s">
        <v>97</v>
      </c>
      <c r="K235">
        <v>4</v>
      </c>
      <c r="L235" s="2">
        <v>2995.62</v>
      </c>
      <c r="M235" s="2">
        <v>11982.48</v>
      </c>
      <c r="N235" t="s">
        <v>30</v>
      </c>
      <c r="O235" t="s">
        <v>23</v>
      </c>
    </row>
    <row r="236" spans="1:15">
      <c r="A236">
        <v>235</v>
      </c>
      <c r="B236" s="1">
        <v>45996</v>
      </c>
      <c r="C236">
        <v>2025</v>
      </c>
      <c r="D236" t="s">
        <v>71</v>
      </c>
      <c r="E236" t="s">
        <v>107</v>
      </c>
      <c r="F236" t="s">
        <v>17</v>
      </c>
      <c r="G236" t="s">
        <v>44</v>
      </c>
      <c r="H236" t="s">
        <v>90</v>
      </c>
      <c r="I236" t="s">
        <v>57</v>
      </c>
      <c r="J236" t="s">
        <v>98</v>
      </c>
      <c r="K236">
        <v>5</v>
      </c>
      <c r="L236" s="2">
        <v>876.93</v>
      </c>
      <c r="M236" s="2">
        <v>4384.6499999999996</v>
      </c>
      <c r="N236" t="s">
        <v>30</v>
      </c>
      <c r="O236" t="s">
        <v>23</v>
      </c>
    </row>
    <row r="237" spans="1:15">
      <c r="A237">
        <v>236</v>
      </c>
      <c r="B237" s="1">
        <v>45982</v>
      </c>
      <c r="C237">
        <v>2025</v>
      </c>
      <c r="D237" t="s">
        <v>15</v>
      </c>
      <c r="E237" t="s">
        <v>59</v>
      </c>
      <c r="F237" t="s">
        <v>26</v>
      </c>
      <c r="G237" t="s">
        <v>33</v>
      </c>
      <c r="H237" t="s">
        <v>73</v>
      </c>
      <c r="I237" t="s">
        <v>28</v>
      </c>
      <c r="J237" t="s">
        <v>51</v>
      </c>
      <c r="K237">
        <v>3</v>
      </c>
      <c r="L237" s="2">
        <v>6882</v>
      </c>
      <c r="M237" s="2">
        <v>20646</v>
      </c>
      <c r="N237" t="s">
        <v>41</v>
      </c>
      <c r="O237" t="s">
        <v>23</v>
      </c>
    </row>
    <row r="238" spans="1:15">
      <c r="A238">
        <v>237</v>
      </c>
      <c r="B238" s="1">
        <v>45710</v>
      </c>
      <c r="C238">
        <v>2025</v>
      </c>
      <c r="D238" t="s">
        <v>24</v>
      </c>
      <c r="E238" t="s">
        <v>25</v>
      </c>
      <c r="F238" t="s">
        <v>17</v>
      </c>
      <c r="G238" t="s">
        <v>38</v>
      </c>
      <c r="H238" t="s">
        <v>19</v>
      </c>
      <c r="I238" t="s">
        <v>28</v>
      </c>
      <c r="J238" t="s">
        <v>55</v>
      </c>
      <c r="K238">
        <v>2</v>
      </c>
      <c r="L238" s="2">
        <v>3470.02</v>
      </c>
      <c r="M238" s="2">
        <v>6940.04</v>
      </c>
      <c r="N238" t="s">
        <v>35</v>
      </c>
      <c r="O238" t="s">
        <v>23</v>
      </c>
    </row>
    <row r="239" spans="1:15">
      <c r="A239">
        <v>238</v>
      </c>
      <c r="B239" s="1">
        <v>45941</v>
      </c>
      <c r="C239">
        <v>2025</v>
      </c>
      <c r="D239" t="s">
        <v>65</v>
      </c>
      <c r="E239" t="s">
        <v>96</v>
      </c>
      <c r="F239" t="s">
        <v>26</v>
      </c>
      <c r="G239" t="s">
        <v>44</v>
      </c>
      <c r="H239" t="s">
        <v>67</v>
      </c>
      <c r="I239" t="s">
        <v>20</v>
      </c>
      <c r="J239" t="s">
        <v>97</v>
      </c>
      <c r="K239">
        <v>4</v>
      </c>
      <c r="L239" s="2">
        <v>2823.5</v>
      </c>
      <c r="M239" s="2">
        <v>11294</v>
      </c>
      <c r="N239" t="s">
        <v>30</v>
      </c>
      <c r="O239" t="s">
        <v>23</v>
      </c>
    </row>
    <row r="240" spans="1:15">
      <c r="A240">
        <v>239</v>
      </c>
      <c r="B240" s="1">
        <v>45744</v>
      </c>
      <c r="C240">
        <v>2025</v>
      </c>
      <c r="D240" t="s">
        <v>81</v>
      </c>
      <c r="E240" t="s">
        <v>99</v>
      </c>
      <c r="F240" t="s">
        <v>26</v>
      </c>
      <c r="G240" t="s">
        <v>44</v>
      </c>
      <c r="H240" t="s">
        <v>60</v>
      </c>
      <c r="I240" t="s">
        <v>57</v>
      </c>
      <c r="J240" t="s">
        <v>58</v>
      </c>
      <c r="K240">
        <v>2</v>
      </c>
      <c r="L240" s="2">
        <v>1262.98</v>
      </c>
      <c r="M240" s="2">
        <v>2525.96</v>
      </c>
      <c r="N240" t="s">
        <v>22</v>
      </c>
      <c r="O240" t="s">
        <v>23</v>
      </c>
    </row>
    <row r="241" spans="1:15">
      <c r="A241">
        <v>240</v>
      </c>
      <c r="B241" s="1">
        <v>45811</v>
      </c>
      <c r="C241">
        <v>2025</v>
      </c>
      <c r="D241" t="s">
        <v>101</v>
      </c>
      <c r="E241" t="s">
        <v>107</v>
      </c>
      <c r="F241" t="s">
        <v>17</v>
      </c>
      <c r="G241" t="s">
        <v>38</v>
      </c>
      <c r="H241" t="s">
        <v>49</v>
      </c>
      <c r="I241" t="s">
        <v>57</v>
      </c>
      <c r="J241" t="s">
        <v>98</v>
      </c>
      <c r="K241">
        <v>3</v>
      </c>
      <c r="L241" s="2">
        <v>872.21</v>
      </c>
      <c r="M241" s="2">
        <v>2616.63</v>
      </c>
      <c r="N241" t="s">
        <v>30</v>
      </c>
      <c r="O241" t="s">
        <v>23</v>
      </c>
    </row>
    <row r="242" spans="1:15">
      <c r="A242">
        <v>241</v>
      </c>
      <c r="B242" s="1">
        <v>45727</v>
      </c>
      <c r="C242">
        <v>2025</v>
      </c>
      <c r="D242" t="s">
        <v>81</v>
      </c>
      <c r="E242" t="s">
        <v>126</v>
      </c>
      <c r="F242" t="s">
        <v>26</v>
      </c>
      <c r="G242" t="s">
        <v>33</v>
      </c>
      <c r="H242" t="s">
        <v>73</v>
      </c>
      <c r="I242" t="s">
        <v>39</v>
      </c>
      <c r="J242" t="s">
        <v>76</v>
      </c>
      <c r="K242">
        <v>4</v>
      </c>
      <c r="L242" s="2">
        <v>126.4</v>
      </c>
      <c r="M242" s="2">
        <v>505.6</v>
      </c>
      <c r="N242" t="s">
        <v>41</v>
      </c>
      <c r="O242" t="s">
        <v>23</v>
      </c>
    </row>
    <row r="243" spans="1:15">
      <c r="A243">
        <v>242</v>
      </c>
      <c r="B243" s="1">
        <v>45991</v>
      </c>
      <c r="C243">
        <v>2025</v>
      </c>
      <c r="D243" t="s">
        <v>15</v>
      </c>
      <c r="E243" t="s">
        <v>103</v>
      </c>
      <c r="F243" t="s">
        <v>26</v>
      </c>
      <c r="G243" t="s">
        <v>33</v>
      </c>
      <c r="H243" t="s">
        <v>60</v>
      </c>
      <c r="I243" t="s">
        <v>63</v>
      </c>
      <c r="J243" t="s">
        <v>95</v>
      </c>
      <c r="K243">
        <v>3</v>
      </c>
      <c r="L243" s="2">
        <v>1955.98</v>
      </c>
      <c r="M243" s="2">
        <v>5867.94</v>
      </c>
      <c r="N243" t="s">
        <v>22</v>
      </c>
      <c r="O243" t="s">
        <v>70</v>
      </c>
    </row>
    <row r="244" spans="1:15">
      <c r="A244">
        <v>243</v>
      </c>
      <c r="B244" s="1">
        <v>45807</v>
      </c>
      <c r="C244">
        <v>2025</v>
      </c>
      <c r="D244" t="s">
        <v>31</v>
      </c>
      <c r="E244" t="s">
        <v>127</v>
      </c>
      <c r="F244" t="s">
        <v>17</v>
      </c>
      <c r="G244" t="s">
        <v>33</v>
      </c>
      <c r="H244" t="s">
        <v>19</v>
      </c>
      <c r="I244" t="s">
        <v>57</v>
      </c>
      <c r="J244" t="s">
        <v>58</v>
      </c>
      <c r="K244">
        <v>3</v>
      </c>
      <c r="L244" s="2">
        <v>1279.68</v>
      </c>
      <c r="M244" s="2">
        <v>3839.04</v>
      </c>
      <c r="N244" t="s">
        <v>30</v>
      </c>
      <c r="O244" t="s">
        <v>23</v>
      </c>
    </row>
    <row r="245" spans="1:15">
      <c r="A245">
        <v>244</v>
      </c>
      <c r="B245" s="1">
        <v>45937</v>
      </c>
      <c r="C245">
        <v>2025</v>
      </c>
      <c r="D245" t="s">
        <v>65</v>
      </c>
      <c r="E245" t="s">
        <v>128</v>
      </c>
      <c r="F245" t="s">
        <v>26</v>
      </c>
      <c r="G245" t="s">
        <v>33</v>
      </c>
      <c r="H245" t="s">
        <v>19</v>
      </c>
      <c r="I245" t="s">
        <v>28</v>
      </c>
      <c r="J245" t="s">
        <v>55</v>
      </c>
      <c r="K245">
        <v>4</v>
      </c>
      <c r="L245" s="2">
        <v>3685</v>
      </c>
      <c r="M245" s="2">
        <v>14740</v>
      </c>
      <c r="N245" t="s">
        <v>22</v>
      </c>
      <c r="O245" t="s">
        <v>23</v>
      </c>
    </row>
    <row r="246" spans="1:15">
      <c r="A246">
        <v>245</v>
      </c>
      <c r="B246" s="1">
        <v>45729</v>
      </c>
      <c r="C246">
        <v>2025</v>
      </c>
      <c r="D246" t="s">
        <v>81</v>
      </c>
      <c r="E246" t="s">
        <v>91</v>
      </c>
      <c r="F246" t="s">
        <v>26</v>
      </c>
      <c r="G246" t="s">
        <v>38</v>
      </c>
      <c r="H246" t="s">
        <v>19</v>
      </c>
      <c r="I246" t="s">
        <v>39</v>
      </c>
      <c r="J246" t="s">
        <v>46</v>
      </c>
      <c r="K246">
        <v>3</v>
      </c>
      <c r="L246" s="2">
        <v>355.64</v>
      </c>
      <c r="M246" s="2">
        <v>1066.92</v>
      </c>
      <c r="N246" t="s">
        <v>22</v>
      </c>
      <c r="O246" t="s">
        <v>70</v>
      </c>
    </row>
    <row r="247" spans="1:15">
      <c r="A247">
        <v>246</v>
      </c>
      <c r="B247" s="1">
        <v>45903</v>
      </c>
      <c r="C247">
        <v>2025</v>
      </c>
      <c r="D247" t="s">
        <v>69</v>
      </c>
      <c r="E247" t="s">
        <v>108</v>
      </c>
      <c r="F247" t="s">
        <v>79</v>
      </c>
      <c r="G247" t="s">
        <v>38</v>
      </c>
      <c r="H247" t="s">
        <v>67</v>
      </c>
      <c r="I247" t="s">
        <v>63</v>
      </c>
      <c r="J247" t="s">
        <v>109</v>
      </c>
      <c r="K247">
        <v>5</v>
      </c>
      <c r="L247" s="2">
        <v>799.63</v>
      </c>
      <c r="M247" s="2">
        <v>3998.15</v>
      </c>
      <c r="N247" t="s">
        <v>35</v>
      </c>
      <c r="O247" t="s">
        <v>23</v>
      </c>
    </row>
    <row r="248" spans="1:15">
      <c r="A248">
        <v>247</v>
      </c>
      <c r="B248" s="1">
        <v>45842</v>
      </c>
      <c r="C248">
        <v>2025</v>
      </c>
      <c r="D248" t="s">
        <v>36</v>
      </c>
      <c r="E248" t="s">
        <v>48</v>
      </c>
      <c r="F248" t="s">
        <v>17</v>
      </c>
      <c r="G248" t="s">
        <v>80</v>
      </c>
      <c r="H248" t="s">
        <v>49</v>
      </c>
      <c r="I248" t="s">
        <v>63</v>
      </c>
      <c r="J248" t="s">
        <v>64</v>
      </c>
      <c r="K248">
        <v>1</v>
      </c>
      <c r="L248" s="2">
        <v>1237.7</v>
      </c>
      <c r="M248" s="2">
        <v>1237.7</v>
      </c>
      <c r="N248" t="s">
        <v>35</v>
      </c>
      <c r="O248" t="s">
        <v>23</v>
      </c>
    </row>
    <row r="249" spans="1:15">
      <c r="A249">
        <v>248</v>
      </c>
      <c r="B249" s="1">
        <v>45988</v>
      </c>
      <c r="C249">
        <v>2025</v>
      </c>
      <c r="D249" t="s">
        <v>15</v>
      </c>
      <c r="E249" t="s">
        <v>114</v>
      </c>
      <c r="F249" t="s">
        <v>26</v>
      </c>
      <c r="G249" t="s">
        <v>18</v>
      </c>
      <c r="H249" t="s">
        <v>67</v>
      </c>
      <c r="I249" t="s">
        <v>57</v>
      </c>
      <c r="J249" t="s">
        <v>110</v>
      </c>
      <c r="K249">
        <v>4</v>
      </c>
      <c r="L249" s="2">
        <v>1809.2</v>
      </c>
      <c r="M249" s="2">
        <v>7236.8</v>
      </c>
      <c r="N249" t="s">
        <v>30</v>
      </c>
      <c r="O249" t="s">
        <v>23</v>
      </c>
    </row>
    <row r="250" spans="1:15">
      <c r="A250">
        <v>249</v>
      </c>
      <c r="B250" s="1">
        <v>45858</v>
      </c>
      <c r="C250">
        <v>2025</v>
      </c>
      <c r="D250" t="s">
        <v>36</v>
      </c>
      <c r="E250" t="s">
        <v>118</v>
      </c>
      <c r="F250" t="s">
        <v>26</v>
      </c>
      <c r="G250" t="s">
        <v>38</v>
      </c>
      <c r="H250" t="s">
        <v>19</v>
      </c>
      <c r="I250" t="s">
        <v>57</v>
      </c>
      <c r="J250" t="s">
        <v>58</v>
      </c>
      <c r="K250">
        <v>3</v>
      </c>
      <c r="L250" s="2">
        <v>1376.58</v>
      </c>
      <c r="M250" s="2">
        <v>4129.74</v>
      </c>
      <c r="N250" t="s">
        <v>35</v>
      </c>
      <c r="O250" t="s">
        <v>42</v>
      </c>
    </row>
    <row r="251" spans="1:15">
      <c r="A251">
        <v>250</v>
      </c>
      <c r="B251" s="1">
        <v>45730</v>
      </c>
      <c r="C251">
        <v>2025</v>
      </c>
      <c r="D251" t="s">
        <v>81</v>
      </c>
      <c r="E251" t="s">
        <v>128</v>
      </c>
      <c r="F251" t="s">
        <v>26</v>
      </c>
      <c r="G251" t="s">
        <v>33</v>
      </c>
      <c r="H251" t="s">
        <v>73</v>
      </c>
      <c r="I251" t="s">
        <v>39</v>
      </c>
      <c r="J251" t="s">
        <v>40</v>
      </c>
      <c r="K251">
        <v>3</v>
      </c>
      <c r="L251" s="2">
        <v>217.83</v>
      </c>
      <c r="M251" s="2">
        <v>653.49</v>
      </c>
      <c r="N251" t="s">
        <v>35</v>
      </c>
      <c r="O251" t="s">
        <v>23</v>
      </c>
    </row>
    <row r="252" spans="1:15">
      <c r="A252">
        <v>251</v>
      </c>
      <c r="B252" s="1">
        <v>46014</v>
      </c>
      <c r="C252">
        <v>2025</v>
      </c>
      <c r="D252" t="s">
        <v>71</v>
      </c>
      <c r="E252" t="s">
        <v>78</v>
      </c>
      <c r="F252" t="s">
        <v>17</v>
      </c>
      <c r="G252" t="s">
        <v>44</v>
      </c>
      <c r="H252" t="s">
        <v>54</v>
      </c>
      <c r="I252" t="s">
        <v>57</v>
      </c>
      <c r="J252" t="s">
        <v>110</v>
      </c>
      <c r="K252">
        <v>1</v>
      </c>
      <c r="L252" s="2">
        <v>1853.48</v>
      </c>
      <c r="M252" s="2">
        <v>1853.48</v>
      </c>
      <c r="N252" t="s">
        <v>35</v>
      </c>
      <c r="O252" t="s">
        <v>23</v>
      </c>
    </row>
    <row r="253" spans="1:15">
      <c r="A253">
        <v>252</v>
      </c>
      <c r="B253" s="1">
        <v>45742</v>
      </c>
      <c r="C253">
        <v>2025</v>
      </c>
      <c r="D253" t="s">
        <v>81</v>
      </c>
      <c r="E253" t="s">
        <v>25</v>
      </c>
      <c r="F253" t="s">
        <v>26</v>
      </c>
      <c r="G253" t="s">
        <v>38</v>
      </c>
      <c r="H253" t="s">
        <v>45</v>
      </c>
      <c r="I253" t="s">
        <v>28</v>
      </c>
      <c r="J253" t="s">
        <v>29</v>
      </c>
      <c r="K253">
        <v>5</v>
      </c>
      <c r="L253" s="2">
        <v>5082.8900000000003</v>
      </c>
      <c r="M253" s="2">
        <v>25414.45</v>
      </c>
      <c r="N253" t="s">
        <v>22</v>
      </c>
      <c r="O253" t="s">
        <v>23</v>
      </c>
    </row>
    <row r="254" spans="1:15">
      <c r="A254">
        <v>253</v>
      </c>
      <c r="B254" s="1">
        <v>45753</v>
      </c>
      <c r="C254">
        <v>2025</v>
      </c>
      <c r="D254" t="s">
        <v>86</v>
      </c>
      <c r="E254" t="s">
        <v>68</v>
      </c>
      <c r="F254" t="s">
        <v>26</v>
      </c>
      <c r="G254" t="s">
        <v>18</v>
      </c>
      <c r="H254" t="s">
        <v>27</v>
      </c>
      <c r="I254" t="s">
        <v>57</v>
      </c>
      <c r="J254" t="s">
        <v>113</v>
      </c>
      <c r="K254">
        <v>1</v>
      </c>
      <c r="L254" s="2">
        <v>2364.4899999999998</v>
      </c>
      <c r="M254" s="2">
        <v>2364.4899999999998</v>
      </c>
      <c r="N254" t="s">
        <v>22</v>
      </c>
      <c r="O254" t="s">
        <v>23</v>
      </c>
    </row>
    <row r="255" spans="1:15">
      <c r="A255">
        <v>254</v>
      </c>
      <c r="B255" s="1">
        <v>45767</v>
      </c>
      <c r="C255">
        <v>2025</v>
      </c>
      <c r="D255" t="s">
        <v>86</v>
      </c>
      <c r="E255" t="s">
        <v>78</v>
      </c>
      <c r="F255" t="s">
        <v>79</v>
      </c>
      <c r="G255" t="s">
        <v>80</v>
      </c>
      <c r="H255" t="s">
        <v>54</v>
      </c>
      <c r="I255" t="s">
        <v>28</v>
      </c>
      <c r="J255" t="s">
        <v>74</v>
      </c>
      <c r="K255">
        <v>1</v>
      </c>
      <c r="L255" s="2">
        <v>4540.76</v>
      </c>
      <c r="M255" s="2">
        <v>4540.76</v>
      </c>
      <c r="N255" t="s">
        <v>41</v>
      </c>
      <c r="O255" t="s">
        <v>23</v>
      </c>
    </row>
    <row r="256" spans="1:15">
      <c r="A256">
        <v>255</v>
      </c>
      <c r="B256" s="1">
        <v>45716</v>
      </c>
      <c r="C256">
        <v>2025</v>
      </c>
      <c r="D256" t="s">
        <v>24</v>
      </c>
      <c r="E256" t="s">
        <v>116</v>
      </c>
      <c r="F256" t="s">
        <v>17</v>
      </c>
      <c r="G256" t="s">
        <v>18</v>
      </c>
      <c r="H256" t="s">
        <v>27</v>
      </c>
      <c r="I256" t="s">
        <v>39</v>
      </c>
      <c r="J256" t="s">
        <v>85</v>
      </c>
      <c r="K256">
        <v>5</v>
      </c>
      <c r="L256" s="2">
        <v>294.60000000000002</v>
      </c>
      <c r="M256" s="2">
        <v>1473</v>
      </c>
      <c r="N256" t="s">
        <v>35</v>
      </c>
      <c r="O256" t="s">
        <v>23</v>
      </c>
    </row>
    <row r="257" spans="1:15">
      <c r="A257">
        <v>256</v>
      </c>
      <c r="B257" s="1">
        <v>45892</v>
      </c>
      <c r="C257">
        <v>2025</v>
      </c>
      <c r="D257" t="s">
        <v>47</v>
      </c>
      <c r="E257" t="s">
        <v>75</v>
      </c>
      <c r="F257" t="s">
        <v>26</v>
      </c>
      <c r="G257" t="s">
        <v>80</v>
      </c>
      <c r="H257" t="s">
        <v>54</v>
      </c>
      <c r="I257" t="s">
        <v>63</v>
      </c>
      <c r="J257" t="s">
        <v>95</v>
      </c>
      <c r="K257">
        <v>3</v>
      </c>
      <c r="L257" s="2">
        <v>2099.4299999999998</v>
      </c>
      <c r="M257" s="2">
        <v>6298.29</v>
      </c>
      <c r="N257" t="s">
        <v>35</v>
      </c>
      <c r="O257" t="s">
        <v>23</v>
      </c>
    </row>
    <row r="258" spans="1:15">
      <c r="A258">
        <v>257</v>
      </c>
      <c r="B258" s="1">
        <v>45717</v>
      </c>
      <c r="C258">
        <v>2025</v>
      </c>
      <c r="D258" t="s">
        <v>81</v>
      </c>
      <c r="E258" t="s">
        <v>96</v>
      </c>
      <c r="F258" t="s">
        <v>17</v>
      </c>
      <c r="G258" t="s">
        <v>18</v>
      </c>
      <c r="H258" t="s">
        <v>27</v>
      </c>
      <c r="I258" t="s">
        <v>28</v>
      </c>
      <c r="J258" t="s">
        <v>74</v>
      </c>
      <c r="K258">
        <v>2</v>
      </c>
      <c r="L258" s="2">
        <v>4504.84</v>
      </c>
      <c r="M258" s="2">
        <v>9009.68</v>
      </c>
      <c r="N258" t="s">
        <v>22</v>
      </c>
      <c r="O258" t="s">
        <v>23</v>
      </c>
    </row>
    <row r="259" spans="1:15">
      <c r="A259">
        <v>258</v>
      </c>
      <c r="B259" s="1">
        <v>45983</v>
      </c>
      <c r="C259">
        <v>2025</v>
      </c>
      <c r="D259" t="s">
        <v>15</v>
      </c>
      <c r="E259" t="s">
        <v>105</v>
      </c>
      <c r="F259" t="s">
        <v>26</v>
      </c>
      <c r="G259" t="s">
        <v>33</v>
      </c>
      <c r="H259" t="s">
        <v>73</v>
      </c>
      <c r="I259" t="s">
        <v>63</v>
      </c>
      <c r="J259" t="s">
        <v>95</v>
      </c>
      <c r="K259">
        <v>5</v>
      </c>
      <c r="L259" s="2">
        <v>1919.09</v>
      </c>
      <c r="M259" s="2">
        <v>9595.4500000000007</v>
      </c>
      <c r="N259" t="s">
        <v>35</v>
      </c>
      <c r="O259" t="s">
        <v>42</v>
      </c>
    </row>
    <row r="260" spans="1:15">
      <c r="A260">
        <v>259</v>
      </c>
      <c r="B260" s="1">
        <v>45662</v>
      </c>
      <c r="C260">
        <v>2025</v>
      </c>
      <c r="D260" t="s">
        <v>52</v>
      </c>
      <c r="E260" t="s">
        <v>25</v>
      </c>
      <c r="F260" t="s">
        <v>26</v>
      </c>
      <c r="G260" t="s">
        <v>38</v>
      </c>
      <c r="H260" t="s">
        <v>27</v>
      </c>
      <c r="I260" t="s">
        <v>57</v>
      </c>
      <c r="J260" t="s">
        <v>58</v>
      </c>
      <c r="K260">
        <v>2</v>
      </c>
      <c r="L260" s="2">
        <v>1348.14</v>
      </c>
      <c r="M260" s="2">
        <v>2696.28</v>
      </c>
      <c r="N260" t="s">
        <v>22</v>
      </c>
      <c r="O260" t="s">
        <v>23</v>
      </c>
    </row>
    <row r="261" spans="1:15">
      <c r="A261">
        <v>260</v>
      </c>
      <c r="B261" s="1">
        <v>45885</v>
      </c>
      <c r="C261">
        <v>2025</v>
      </c>
      <c r="D261" t="s">
        <v>47</v>
      </c>
      <c r="E261" t="s">
        <v>123</v>
      </c>
      <c r="F261" t="s">
        <v>17</v>
      </c>
      <c r="G261" t="s">
        <v>33</v>
      </c>
      <c r="H261" t="s">
        <v>62</v>
      </c>
      <c r="I261" t="s">
        <v>57</v>
      </c>
      <c r="J261" t="s">
        <v>58</v>
      </c>
      <c r="K261">
        <v>1</v>
      </c>
      <c r="L261" s="2">
        <v>1309.19</v>
      </c>
      <c r="M261" s="2">
        <v>1309.19</v>
      </c>
      <c r="N261" t="s">
        <v>41</v>
      </c>
      <c r="O261" t="s">
        <v>23</v>
      </c>
    </row>
    <row r="262" spans="1:15">
      <c r="A262">
        <v>261</v>
      </c>
      <c r="B262" s="1">
        <v>45805</v>
      </c>
      <c r="C262">
        <v>2025</v>
      </c>
      <c r="D262" t="s">
        <v>31</v>
      </c>
      <c r="E262" t="s">
        <v>130</v>
      </c>
      <c r="F262" t="s">
        <v>26</v>
      </c>
      <c r="G262" t="s">
        <v>18</v>
      </c>
      <c r="H262" t="s">
        <v>19</v>
      </c>
      <c r="I262" t="s">
        <v>28</v>
      </c>
      <c r="J262" t="s">
        <v>51</v>
      </c>
      <c r="K262">
        <v>5</v>
      </c>
      <c r="L262" s="2">
        <v>7202.69</v>
      </c>
      <c r="M262" s="2">
        <v>36013.449999999997</v>
      </c>
      <c r="N262" t="s">
        <v>35</v>
      </c>
      <c r="O262" t="s">
        <v>23</v>
      </c>
    </row>
    <row r="263" spans="1:15">
      <c r="A263">
        <v>262</v>
      </c>
      <c r="B263" s="1">
        <v>45936</v>
      </c>
      <c r="C263">
        <v>2025</v>
      </c>
      <c r="D263" t="s">
        <v>65</v>
      </c>
      <c r="E263" t="s">
        <v>77</v>
      </c>
      <c r="F263" t="s">
        <v>26</v>
      </c>
      <c r="G263" t="s">
        <v>80</v>
      </c>
      <c r="H263" t="s">
        <v>90</v>
      </c>
      <c r="I263" t="s">
        <v>39</v>
      </c>
      <c r="J263" t="s">
        <v>76</v>
      </c>
      <c r="K263">
        <v>4</v>
      </c>
      <c r="L263" s="2">
        <v>129.72</v>
      </c>
      <c r="M263" s="2">
        <v>518.88</v>
      </c>
      <c r="N263" t="s">
        <v>35</v>
      </c>
      <c r="O263" t="s">
        <v>23</v>
      </c>
    </row>
    <row r="264" spans="1:15">
      <c r="A264">
        <v>263</v>
      </c>
      <c r="B264" s="1">
        <v>45836</v>
      </c>
      <c r="C264">
        <v>2025</v>
      </c>
      <c r="D264" t="s">
        <v>101</v>
      </c>
      <c r="E264" t="s">
        <v>107</v>
      </c>
      <c r="F264" t="s">
        <v>26</v>
      </c>
      <c r="G264" t="s">
        <v>18</v>
      </c>
      <c r="H264" t="s">
        <v>54</v>
      </c>
      <c r="I264" t="s">
        <v>20</v>
      </c>
      <c r="J264" t="s">
        <v>93</v>
      </c>
      <c r="K264">
        <v>1</v>
      </c>
      <c r="L264" s="2">
        <v>1032.04</v>
      </c>
      <c r="M264" s="2">
        <v>1032.04</v>
      </c>
      <c r="N264" t="s">
        <v>22</v>
      </c>
      <c r="O264" t="s">
        <v>23</v>
      </c>
    </row>
    <row r="265" spans="1:15">
      <c r="A265">
        <v>264</v>
      </c>
      <c r="B265" s="1">
        <v>45729</v>
      </c>
      <c r="C265">
        <v>2025</v>
      </c>
      <c r="D265" t="s">
        <v>81</v>
      </c>
      <c r="E265" t="s">
        <v>37</v>
      </c>
      <c r="F265" t="s">
        <v>26</v>
      </c>
      <c r="G265" t="s">
        <v>18</v>
      </c>
      <c r="H265" t="s">
        <v>60</v>
      </c>
      <c r="I265" t="s">
        <v>28</v>
      </c>
      <c r="J265" t="s">
        <v>29</v>
      </c>
      <c r="K265">
        <v>1</v>
      </c>
      <c r="L265" s="2">
        <v>5343.56</v>
      </c>
      <c r="M265" s="2">
        <v>5343.56</v>
      </c>
      <c r="N265" t="s">
        <v>41</v>
      </c>
      <c r="O265" t="s">
        <v>70</v>
      </c>
    </row>
    <row r="266" spans="1:15">
      <c r="A266">
        <v>265</v>
      </c>
      <c r="B266" s="1">
        <v>45807</v>
      </c>
      <c r="C266">
        <v>2025</v>
      </c>
      <c r="D266" t="s">
        <v>31</v>
      </c>
      <c r="E266" t="s">
        <v>120</v>
      </c>
      <c r="F266" t="s">
        <v>17</v>
      </c>
      <c r="G266" t="s">
        <v>80</v>
      </c>
      <c r="H266" t="s">
        <v>27</v>
      </c>
      <c r="I266" t="s">
        <v>39</v>
      </c>
      <c r="J266" t="s">
        <v>40</v>
      </c>
      <c r="K266">
        <v>5</v>
      </c>
      <c r="L266" s="2">
        <v>231.76</v>
      </c>
      <c r="M266" s="2">
        <v>1158.8</v>
      </c>
      <c r="N266" t="s">
        <v>35</v>
      </c>
      <c r="O266" t="s">
        <v>70</v>
      </c>
    </row>
    <row r="267" spans="1:15">
      <c r="A267">
        <v>266</v>
      </c>
      <c r="B267" s="1">
        <v>45993</v>
      </c>
      <c r="C267">
        <v>2025</v>
      </c>
      <c r="D267" t="s">
        <v>71</v>
      </c>
      <c r="E267" t="s">
        <v>116</v>
      </c>
      <c r="F267" t="s">
        <v>17</v>
      </c>
      <c r="G267" t="s">
        <v>38</v>
      </c>
      <c r="H267" t="s">
        <v>73</v>
      </c>
      <c r="I267" t="s">
        <v>28</v>
      </c>
      <c r="J267" t="s">
        <v>29</v>
      </c>
      <c r="K267">
        <v>2</v>
      </c>
      <c r="L267" s="2">
        <v>5074.05</v>
      </c>
      <c r="M267" s="2">
        <v>10148.1</v>
      </c>
      <c r="N267" t="s">
        <v>30</v>
      </c>
      <c r="O267" t="s">
        <v>23</v>
      </c>
    </row>
    <row r="268" spans="1:15">
      <c r="A268">
        <v>267</v>
      </c>
      <c r="B268" s="1">
        <v>45795</v>
      </c>
      <c r="C268">
        <v>2025</v>
      </c>
      <c r="D268" t="s">
        <v>31</v>
      </c>
      <c r="E268" t="s">
        <v>123</v>
      </c>
      <c r="F268" t="s">
        <v>79</v>
      </c>
      <c r="G268" t="s">
        <v>44</v>
      </c>
      <c r="H268" t="s">
        <v>27</v>
      </c>
      <c r="I268" t="s">
        <v>57</v>
      </c>
      <c r="J268" t="s">
        <v>113</v>
      </c>
      <c r="K268">
        <v>4</v>
      </c>
      <c r="L268" s="2">
        <v>2181.89</v>
      </c>
      <c r="M268" s="2">
        <v>8727.56</v>
      </c>
      <c r="N268" t="s">
        <v>41</v>
      </c>
      <c r="O268" t="s">
        <v>23</v>
      </c>
    </row>
    <row r="269" spans="1:15">
      <c r="A269">
        <v>268</v>
      </c>
      <c r="B269" s="1">
        <v>45846</v>
      </c>
      <c r="C269">
        <v>2025</v>
      </c>
      <c r="D269" t="s">
        <v>36</v>
      </c>
      <c r="E269" t="s">
        <v>82</v>
      </c>
      <c r="F269" t="s">
        <v>17</v>
      </c>
      <c r="G269" t="s">
        <v>44</v>
      </c>
      <c r="H269" t="s">
        <v>73</v>
      </c>
      <c r="I269" t="s">
        <v>57</v>
      </c>
      <c r="J269" t="s">
        <v>113</v>
      </c>
      <c r="K269">
        <v>3</v>
      </c>
      <c r="L269" s="2">
        <v>2321.61</v>
      </c>
      <c r="M269" s="2">
        <v>6964.83</v>
      </c>
      <c r="N269" t="s">
        <v>41</v>
      </c>
      <c r="O269" t="s">
        <v>42</v>
      </c>
    </row>
    <row r="270" spans="1:15">
      <c r="A270">
        <v>269</v>
      </c>
      <c r="B270" s="1">
        <v>45931</v>
      </c>
      <c r="C270">
        <v>2025</v>
      </c>
      <c r="D270" t="s">
        <v>65</v>
      </c>
      <c r="E270" t="s">
        <v>83</v>
      </c>
      <c r="F270" t="s">
        <v>26</v>
      </c>
      <c r="G270" t="s">
        <v>33</v>
      </c>
      <c r="H270" t="s">
        <v>54</v>
      </c>
      <c r="I270" t="s">
        <v>57</v>
      </c>
      <c r="J270" t="s">
        <v>58</v>
      </c>
      <c r="K270">
        <v>4</v>
      </c>
      <c r="L270" s="2">
        <v>1349.64</v>
      </c>
      <c r="M270" s="2">
        <v>5398.56</v>
      </c>
      <c r="N270" t="s">
        <v>30</v>
      </c>
      <c r="O270" t="s">
        <v>23</v>
      </c>
    </row>
    <row r="271" spans="1:15">
      <c r="A271">
        <v>270</v>
      </c>
      <c r="B271" s="1">
        <v>45906</v>
      </c>
      <c r="C271">
        <v>2025</v>
      </c>
      <c r="D271" t="s">
        <v>69</v>
      </c>
      <c r="E271" t="s">
        <v>123</v>
      </c>
      <c r="F271" t="s">
        <v>17</v>
      </c>
      <c r="G271" t="s">
        <v>44</v>
      </c>
      <c r="H271" t="s">
        <v>19</v>
      </c>
      <c r="I271" t="s">
        <v>39</v>
      </c>
      <c r="J271" t="s">
        <v>76</v>
      </c>
      <c r="K271">
        <v>1</v>
      </c>
      <c r="L271" s="2">
        <v>122.8</v>
      </c>
      <c r="M271" s="2">
        <v>122.8</v>
      </c>
      <c r="N271" t="s">
        <v>30</v>
      </c>
      <c r="O271" t="s">
        <v>23</v>
      </c>
    </row>
    <row r="272" spans="1:15">
      <c r="A272">
        <v>271</v>
      </c>
      <c r="B272" s="1">
        <v>45658</v>
      </c>
      <c r="C272">
        <v>2025</v>
      </c>
      <c r="D272" t="s">
        <v>52</v>
      </c>
      <c r="E272" t="s">
        <v>94</v>
      </c>
      <c r="F272" t="s">
        <v>26</v>
      </c>
      <c r="G272" t="s">
        <v>33</v>
      </c>
      <c r="H272" t="s">
        <v>19</v>
      </c>
      <c r="I272" t="s">
        <v>57</v>
      </c>
      <c r="J272" t="s">
        <v>58</v>
      </c>
      <c r="K272">
        <v>2</v>
      </c>
      <c r="L272" s="2">
        <v>1358.57</v>
      </c>
      <c r="M272" s="2">
        <v>2717.14</v>
      </c>
      <c r="N272" t="s">
        <v>41</v>
      </c>
      <c r="O272" t="s">
        <v>23</v>
      </c>
    </row>
    <row r="273" spans="1:15">
      <c r="A273">
        <v>272</v>
      </c>
      <c r="B273" s="1">
        <v>45848</v>
      </c>
      <c r="C273">
        <v>2025</v>
      </c>
      <c r="D273" t="s">
        <v>36</v>
      </c>
      <c r="E273" t="s">
        <v>84</v>
      </c>
      <c r="F273" t="s">
        <v>17</v>
      </c>
      <c r="G273" t="s">
        <v>80</v>
      </c>
      <c r="H273" t="s">
        <v>27</v>
      </c>
      <c r="I273" t="s">
        <v>28</v>
      </c>
      <c r="J273" t="s">
        <v>55</v>
      </c>
      <c r="K273">
        <v>4</v>
      </c>
      <c r="L273" s="2">
        <v>3551.74</v>
      </c>
      <c r="M273" s="2">
        <v>14206.96</v>
      </c>
      <c r="N273" t="s">
        <v>35</v>
      </c>
      <c r="O273" t="s">
        <v>23</v>
      </c>
    </row>
    <row r="274" spans="1:15">
      <c r="A274">
        <v>273</v>
      </c>
      <c r="B274" s="1">
        <v>45658</v>
      </c>
      <c r="C274">
        <v>2025</v>
      </c>
      <c r="D274" t="s">
        <v>52</v>
      </c>
      <c r="E274" t="s">
        <v>43</v>
      </c>
      <c r="F274" t="s">
        <v>26</v>
      </c>
      <c r="G274" t="s">
        <v>38</v>
      </c>
      <c r="H274" t="s">
        <v>62</v>
      </c>
      <c r="I274" t="s">
        <v>28</v>
      </c>
      <c r="J274" t="s">
        <v>51</v>
      </c>
      <c r="K274">
        <v>1</v>
      </c>
      <c r="L274" s="2">
        <v>6690.51</v>
      </c>
      <c r="M274" s="2">
        <v>6690.51</v>
      </c>
      <c r="N274" t="s">
        <v>35</v>
      </c>
      <c r="O274" t="s">
        <v>23</v>
      </c>
    </row>
    <row r="275" spans="1:15">
      <c r="A275">
        <v>274</v>
      </c>
      <c r="B275" s="1">
        <v>45719</v>
      </c>
      <c r="C275">
        <v>2025</v>
      </c>
      <c r="D275" t="s">
        <v>81</v>
      </c>
      <c r="E275" t="s">
        <v>125</v>
      </c>
      <c r="F275" t="s">
        <v>26</v>
      </c>
      <c r="G275" t="s">
        <v>44</v>
      </c>
      <c r="H275" t="s">
        <v>19</v>
      </c>
      <c r="I275" t="s">
        <v>57</v>
      </c>
      <c r="J275" t="s">
        <v>58</v>
      </c>
      <c r="K275">
        <v>4</v>
      </c>
      <c r="L275" s="2">
        <v>1232.0999999999999</v>
      </c>
      <c r="M275" s="2">
        <v>4928.3999999999996</v>
      </c>
      <c r="N275" t="s">
        <v>41</v>
      </c>
      <c r="O275" t="s">
        <v>23</v>
      </c>
    </row>
    <row r="276" spans="1:15">
      <c r="A276">
        <v>275</v>
      </c>
      <c r="B276" s="1">
        <v>45811</v>
      </c>
      <c r="C276">
        <v>2025</v>
      </c>
      <c r="D276" t="s">
        <v>101</v>
      </c>
      <c r="E276" t="s">
        <v>120</v>
      </c>
      <c r="F276" t="s">
        <v>26</v>
      </c>
      <c r="G276" t="s">
        <v>18</v>
      </c>
      <c r="H276" t="s">
        <v>49</v>
      </c>
      <c r="I276" t="s">
        <v>28</v>
      </c>
      <c r="J276" t="s">
        <v>51</v>
      </c>
      <c r="K276">
        <v>2</v>
      </c>
      <c r="L276" s="2">
        <v>7117.91</v>
      </c>
      <c r="M276" s="2">
        <v>14235.82</v>
      </c>
      <c r="N276" t="s">
        <v>35</v>
      </c>
      <c r="O276" t="s">
        <v>23</v>
      </c>
    </row>
    <row r="277" spans="1:15">
      <c r="A277">
        <v>276</v>
      </c>
      <c r="B277" s="1">
        <v>45742</v>
      </c>
      <c r="C277">
        <v>2025</v>
      </c>
      <c r="D277" t="s">
        <v>81</v>
      </c>
      <c r="E277" t="s">
        <v>32</v>
      </c>
      <c r="F277" t="s">
        <v>79</v>
      </c>
      <c r="G277" t="s">
        <v>18</v>
      </c>
      <c r="H277" t="s">
        <v>73</v>
      </c>
      <c r="I277" t="s">
        <v>57</v>
      </c>
      <c r="J277" t="s">
        <v>110</v>
      </c>
      <c r="K277">
        <v>2</v>
      </c>
      <c r="L277" s="2">
        <v>1928.19</v>
      </c>
      <c r="M277" s="2">
        <v>3856.38</v>
      </c>
      <c r="N277" t="s">
        <v>30</v>
      </c>
      <c r="O277" t="s">
        <v>23</v>
      </c>
    </row>
    <row r="278" spans="1:15">
      <c r="A278">
        <v>277</v>
      </c>
      <c r="B278" s="1">
        <v>45709</v>
      </c>
      <c r="C278">
        <v>2025</v>
      </c>
      <c r="D278" t="s">
        <v>24</v>
      </c>
      <c r="E278" t="s">
        <v>112</v>
      </c>
      <c r="F278" t="s">
        <v>79</v>
      </c>
      <c r="G278" t="s">
        <v>33</v>
      </c>
      <c r="H278" t="s">
        <v>60</v>
      </c>
      <c r="I278" t="s">
        <v>28</v>
      </c>
      <c r="J278" t="s">
        <v>55</v>
      </c>
      <c r="K278">
        <v>5</v>
      </c>
      <c r="L278" s="2">
        <v>3595.58</v>
      </c>
      <c r="M278" s="2">
        <v>17977.900000000001</v>
      </c>
      <c r="N278" t="s">
        <v>30</v>
      </c>
      <c r="O278" t="s">
        <v>23</v>
      </c>
    </row>
    <row r="279" spans="1:15">
      <c r="A279">
        <v>278</v>
      </c>
      <c r="B279" s="1">
        <v>45701</v>
      </c>
      <c r="C279">
        <v>2025</v>
      </c>
      <c r="D279" t="s">
        <v>24</v>
      </c>
      <c r="E279" t="s">
        <v>48</v>
      </c>
      <c r="F279" t="s">
        <v>79</v>
      </c>
      <c r="G279" t="s">
        <v>80</v>
      </c>
      <c r="H279" t="s">
        <v>67</v>
      </c>
      <c r="I279" t="s">
        <v>28</v>
      </c>
      <c r="J279" t="s">
        <v>74</v>
      </c>
      <c r="K279">
        <v>1</v>
      </c>
      <c r="L279" s="2">
        <v>4686.82</v>
      </c>
      <c r="M279" s="2">
        <v>4686.82</v>
      </c>
      <c r="N279" t="s">
        <v>30</v>
      </c>
      <c r="O279" t="s">
        <v>23</v>
      </c>
    </row>
    <row r="280" spans="1:15">
      <c r="A280">
        <v>279</v>
      </c>
      <c r="B280" s="1">
        <v>45809</v>
      </c>
      <c r="C280">
        <v>2025</v>
      </c>
      <c r="D280" t="s">
        <v>101</v>
      </c>
      <c r="E280" t="s">
        <v>107</v>
      </c>
      <c r="F280" t="s">
        <v>26</v>
      </c>
      <c r="G280" t="s">
        <v>18</v>
      </c>
      <c r="H280" t="s">
        <v>19</v>
      </c>
      <c r="I280" t="s">
        <v>20</v>
      </c>
      <c r="J280" t="s">
        <v>34</v>
      </c>
      <c r="K280">
        <v>4</v>
      </c>
      <c r="L280" s="2">
        <v>2168.89</v>
      </c>
      <c r="M280" s="2">
        <v>8675.56</v>
      </c>
      <c r="N280" t="s">
        <v>35</v>
      </c>
      <c r="O280" t="s">
        <v>70</v>
      </c>
    </row>
    <row r="281" spans="1:15">
      <c r="A281">
        <v>280</v>
      </c>
      <c r="B281" s="1">
        <v>45820</v>
      </c>
      <c r="C281">
        <v>2025</v>
      </c>
      <c r="D281" t="s">
        <v>101</v>
      </c>
      <c r="E281" t="s">
        <v>37</v>
      </c>
      <c r="F281" t="s">
        <v>17</v>
      </c>
      <c r="G281" t="s">
        <v>38</v>
      </c>
      <c r="H281" t="s">
        <v>19</v>
      </c>
      <c r="I281" t="s">
        <v>28</v>
      </c>
      <c r="J281" t="s">
        <v>51</v>
      </c>
      <c r="K281">
        <v>5</v>
      </c>
      <c r="L281" s="2">
        <v>6932.53</v>
      </c>
      <c r="M281" s="2">
        <v>34662.65</v>
      </c>
      <c r="N281" t="s">
        <v>35</v>
      </c>
      <c r="O281" t="s">
        <v>23</v>
      </c>
    </row>
    <row r="282" spans="1:15">
      <c r="A282">
        <v>281</v>
      </c>
      <c r="B282" s="1">
        <v>45665</v>
      </c>
      <c r="C282">
        <v>2025</v>
      </c>
      <c r="D282" t="s">
        <v>52</v>
      </c>
      <c r="E282" t="s">
        <v>123</v>
      </c>
      <c r="F282" t="s">
        <v>26</v>
      </c>
      <c r="G282" t="s">
        <v>33</v>
      </c>
      <c r="H282" t="s">
        <v>67</v>
      </c>
      <c r="I282" t="s">
        <v>39</v>
      </c>
      <c r="J282" t="s">
        <v>46</v>
      </c>
      <c r="K282">
        <v>1</v>
      </c>
      <c r="L282" s="2">
        <v>366.7</v>
      </c>
      <c r="M282" s="2">
        <v>366.7</v>
      </c>
      <c r="N282" t="s">
        <v>22</v>
      </c>
      <c r="O282" t="s">
        <v>23</v>
      </c>
    </row>
    <row r="283" spans="1:15">
      <c r="A283">
        <v>282</v>
      </c>
      <c r="B283" s="1">
        <v>45863</v>
      </c>
      <c r="C283">
        <v>2025</v>
      </c>
      <c r="D283" t="s">
        <v>36</v>
      </c>
      <c r="E283" t="s">
        <v>59</v>
      </c>
      <c r="F283" t="s">
        <v>26</v>
      </c>
      <c r="G283" t="s">
        <v>80</v>
      </c>
      <c r="H283" t="s">
        <v>60</v>
      </c>
      <c r="I283" t="s">
        <v>20</v>
      </c>
      <c r="J283" t="s">
        <v>34</v>
      </c>
      <c r="K283">
        <v>3</v>
      </c>
      <c r="L283" s="2">
        <v>2089.12</v>
      </c>
      <c r="M283" s="2">
        <v>6267.36</v>
      </c>
      <c r="N283" t="s">
        <v>41</v>
      </c>
      <c r="O283" t="s">
        <v>23</v>
      </c>
    </row>
    <row r="284" spans="1:15">
      <c r="A284">
        <v>283</v>
      </c>
      <c r="B284" s="1">
        <v>45982</v>
      </c>
      <c r="C284">
        <v>2025</v>
      </c>
      <c r="D284" t="s">
        <v>15</v>
      </c>
      <c r="E284" t="s">
        <v>124</v>
      </c>
      <c r="F284" t="s">
        <v>26</v>
      </c>
      <c r="G284" t="s">
        <v>80</v>
      </c>
      <c r="H284" t="s">
        <v>19</v>
      </c>
      <c r="I284" t="s">
        <v>20</v>
      </c>
      <c r="J284" t="s">
        <v>97</v>
      </c>
      <c r="K284">
        <v>4</v>
      </c>
      <c r="L284" s="2">
        <v>3081.76</v>
      </c>
      <c r="M284" s="2">
        <v>12327.04</v>
      </c>
      <c r="N284" t="s">
        <v>22</v>
      </c>
      <c r="O284" t="s">
        <v>23</v>
      </c>
    </row>
    <row r="285" spans="1:15">
      <c r="A285">
        <v>284</v>
      </c>
      <c r="B285" s="1">
        <v>45971</v>
      </c>
      <c r="C285">
        <v>2025</v>
      </c>
      <c r="D285" t="s">
        <v>15</v>
      </c>
      <c r="E285" t="s">
        <v>48</v>
      </c>
      <c r="F285" t="s">
        <v>17</v>
      </c>
      <c r="G285" t="s">
        <v>44</v>
      </c>
      <c r="H285" t="s">
        <v>62</v>
      </c>
      <c r="I285" t="s">
        <v>63</v>
      </c>
      <c r="J285" t="s">
        <v>64</v>
      </c>
      <c r="K285">
        <v>3</v>
      </c>
      <c r="L285" s="2">
        <v>1222.9000000000001</v>
      </c>
      <c r="M285" s="2">
        <v>3668.7</v>
      </c>
      <c r="N285" t="s">
        <v>30</v>
      </c>
      <c r="O285" t="s">
        <v>23</v>
      </c>
    </row>
    <row r="286" spans="1:15">
      <c r="A286">
        <v>285</v>
      </c>
      <c r="B286" s="1">
        <v>45741</v>
      </c>
      <c r="C286">
        <v>2025</v>
      </c>
      <c r="D286" t="s">
        <v>81</v>
      </c>
      <c r="E286" t="s">
        <v>127</v>
      </c>
      <c r="F286" t="s">
        <v>17</v>
      </c>
      <c r="G286" t="s">
        <v>80</v>
      </c>
      <c r="H286" t="s">
        <v>54</v>
      </c>
      <c r="I286" t="s">
        <v>57</v>
      </c>
      <c r="J286" t="s">
        <v>110</v>
      </c>
      <c r="K286">
        <v>5</v>
      </c>
      <c r="L286" s="2">
        <v>1902.92</v>
      </c>
      <c r="M286" s="2">
        <v>9514.6</v>
      </c>
      <c r="N286" t="s">
        <v>30</v>
      </c>
      <c r="O286" t="s">
        <v>23</v>
      </c>
    </row>
    <row r="287" spans="1:15">
      <c r="A287">
        <v>286</v>
      </c>
      <c r="B287" s="1">
        <v>45795</v>
      </c>
      <c r="C287">
        <v>2025</v>
      </c>
      <c r="D287" t="s">
        <v>31</v>
      </c>
      <c r="E287" t="s">
        <v>99</v>
      </c>
      <c r="F287" t="s">
        <v>26</v>
      </c>
      <c r="G287" t="s">
        <v>33</v>
      </c>
      <c r="H287" t="s">
        <v>49</v>
      </c>
      <c r="I287" t="s">
        <v>20</v>
      </c>
      <c r="J287" t="s">
        <v>21</v>
      </c>
      <c r="K287">
        <v>3</v>
      </c>
      <c r="L287" s="2">
        <v>1554.24</v>
      </c>
      <c r="M287" s="2">
        <v>4662.72</v>
      </c>
      <c r="N287" t="s">
        <v>35</v>
      </c>
      <c r="O287" t="s">
        <v>23</v>
      </c>
    </row>
    <row r="288" spans="1:15">
      <c r="A288">
        <v>287</v>
      </c>
      <c r="B288" s="1">
        <v>45919</v>
      </c>
      <c r="C288">
        <v>2025</v>
      </c>
      <c r="D288" t="s">
        <v>69</v>
      </c>
      <c r="E288" t="s">
        <v>66</v>
      </c>
      <c r="F288" t="s">
        <v>26</v>
      </c>
      <c r="G288" t="s">
        <v>33</v>
      </c>
      <c r="H288" t="s">
        <v>19</v>
      </c>
      <c r="I288" t="s">
        <v>39</v>
      </c>
      <c r="J288" t="s">
        <v>76</v>
      </c>
      <c r="K288">
        <v>4</v>
      </c>
      <c r="L288" s="2">
        <v>134.56</v>
      </c>
      <c r="M288" s="2">
        <v>538.24</v>
      </c>
      <c r="N288" t="s">
        <v>35</v>
      </c>
      <c r="O288" t="s">
        <v>23</v>
      </c>
    </row>
    <row r="289" spans="1:15">
      <c r="A289">
        <v>288</v>
      </c>
      <c r="B289" s="1">
        <v>45918</v>
      </c>
      <c r="C289">
        <v>2025</v>
      </c>
      <c r="D289" t="s">
        <v>69</v>
      </c>
      <c r="E289" t="s">
        <v>118</v>
      </c>
      <c r="F289" t="s">
        <v>26</v>
      </c>
      <c r="G289" t="s">
        <v>80</v>
      </c>
      <c r="H289" t="s">
        <v>60</v>
      </c>
      <c r="I289" t="s">
        <v>20</v>
      </c>
      <c r="J289" t="s">
        <v>21</v>
      </c>
      <c r="K289">
        <v>1</v>
      </c>
      <c r="L289" s="2">
        <v>1453.05</v>
      </c>
      <c r="M289" s="2">
        <v>1453.05</v>
      </c>
      <c r="N289" t="s">
        <v>35</v>
      </c>
      <c r="O289" t="s">
        <v>23</v>
      </c>
    </row>
    <row r="290" spans="1:15">
      <c r="A290">
        <v>289</v>
      </c>
      <c r="B290" s="1">
        <v>45993</v>
      </c>
      <c r="C290">
        <v>2025</v>
      </c>
      <c r="D290" t="s">
        <v>71</v>
      </c>
      <c r="E290" t="s">
        <v>108</v>
      </c>
      <c r="F290" t="s">
        <v>17</v>
      </c>
      <c r="G290" t="s">
        <v>33</v>
      </c>
      <c r="H290" t="s">
        <v>19</v>
      </c>
      <c r="I290" t="s">
        <v>57</v>
      </c>
      <c r="J290" t="s">
        <v>58</v>
      </c>
      <c r="K290">
        <v>3</v>
      </c>
      <c r="L290" s="2">
        <v>1259.76</v>
      </c>
      <c r="M290" s="2">
        <v>3779.28</v>
      </c>
      <c r="N290" t="s">
        <v>41</v>
      </c>
      <c r="O290" t="s">
        <v>23</v>
      </c>
    </row>
    <row r="291" spans="1:15">
      <c r="A291">
        <v>290</v>
      </c>
      <c r="B291" s="1">
        <v>46002</v>
      </c>
      <c r="C291">
        <v>2025</v>
      </c>
      <c r="D291" t="s">
        <v>71</v>
      </c>
      <c r="E291" t="s">
        <v>106</v>
      </c>
      <c r="F291" t="s">
        <v>79</v>
      </c>
      <c r="G291" t="s">
        <v>44</v>
      </c>
      <c r="H291" t="s">
        <v>73</v>
      </c>
      <c r="I291" t="s">
        <v>20</v>
      </c>
      <c r="J291" t="s">
        <v>34</v>
      </c>
      <c r="K291">
        <v>2</v>
      </c>
      <c r="L291" s="2">
        <v>2279.31</v>
      </c>
      <c r="M291" s="2">
        <v>4558.62</v>
      </c>
      <c r="N291" t="s">
        <v>41</v>
      </c>
      <c r="O291" t="s">
        <v>23</v>
      </c>
    </row>
    <row r="292" spans="1:15">
      <c r="A292">
        <v>291</v>
      </c>
      <c r="B292" s="1">
        <v>45817</v>
      </c>
      <c r="C292">
        <v>2025</v>
      </c>
      <c r="D292" t="s">
        <v>101</v>
      </c>
      <c r="E292" t="s">
        <v>121</v>
      </c>
      <c r="F292" t="s">
        <v>26</v>
      </c>
      <c r="G292" t="s">
        <v>18</v>
      </c>
      <c r="H292" t="s">
        <v>90</v>
      </c>
      <c r="I292" t="s">
        <v>39</v>
      </c>
      <c r="J292" t="s">
        <v>76</v>
      </c>
      <c r="K292">
        <v>5</v>
      </c>
      <c r="L292" s="2">
        <v>128.33000000000001</v>
      </c>
      <c r="M292" s="2">
        <v>641.65</v>
      </c>
      <c r="N292" t="s">
        <v>30</v>
      </c>
      <c r="O292" t="s">
        <v>23</v>
      </c>
    </row>
    <row r="293" spans="1:15">
      <c r="A293">
        <v>292</v>
      </c>
      <c r="B293" s="1">
        <v>45960</v>
      </c>
      <c r="C293">
        <v>2025</v>
      </c>
      <c r="D293" t="s">
        <v>65</v>
      </c>
      <c r="E293" t="s">
        <v>107</v>
      </c>
      <c r="F293" t="s">
        <v>26</v>
      </c>
      <c r="G293" t="s">
        <v>38</v>
      </c>
      <c r="H293" t="s">
        <v>62</v>
      </c>
      <c r="I293" t="s">
        <v>57</v>
      </c>
      <c r="J293" t="s">
        <v>58</v>
      </c>
      <c r="K293">
        <v>5</v>
      </c>
      <c r="L293" s="2">
        <v>1339.6</v>
      </c>
      <c r="M293" s="2">
        <v>6698</v>
      </c>
      <c r="N293" t="s">
        <v>30</v>
      </c>
      <c r="O293" t="s">
        <v>23</v>
      </c>
    </row>
    <row r="294" spans="1:15">
      <c r="A294">
        <v>293</v>
      </c>
      <c r="B294" s="1">
        <v>45983</v>
      </c>
      <c r="C294">
        <v>2025</v>
      </c>
      <c r="D294" t="s">
        <v>15</v>
      </c>
      <c r="E294" t="s">
        <v>125</v>
      </c>
      <c r="F294" t="s">
        <v>17</v>
      </c>
      <c r="G294" t="s">
        <v>33</v>
      </c>
      <c r="H294" t="s">
        <v>19</v>
      </c>
      <c r="I294" t="s">
        <v>20</v>
      </c>
      <c r="J294" t="s">
        <v>97</v>
      </c>
      <c r="K294">
        <v>1</v>
      </c>
      <c r="L294" s="2">
        <v>3092.18</v>
      </c>
      <c r="M294" s="2">
        <v>3092.18</v>
      </c>
      <c r="N294" t="s">
        <v>30</v>
      </c>
      <c r="O294" t="s">
        <v>23</v>
      </c>
    </row>
    <row r="295" spans="1:15">
      <c r="A295">
        <v>294</v>
      </c>
      <c r="B295" s="1">
        <v>45779</v>
      </c>
      <c r="C295">
        <v>2025</v>
      </c>
      <c r="D295" t="s">
        <v>31</v>
      </c>
      <c r="E295" t="s">
        <v>32</v>
      </c>
      <c r="F295" t="s">
        <v>17</v>
      </c>
      <c r="G295" t="s">
        <v>44</v>
      </c>
      <c r="H295" t="s">
        <v>62</v>
      </c>
      <c r="I295" t="s">
        <v>57</v>
      </c>
      <c r="J295" t="s">
        <v>113</v>
      </c>
      <c r="K295">
        <v>1</v>
      </c>
      <c r="L295" s="2">
        <v>2429.37</v>
      </c>
      <c r="M295" s="2">
        <v>2429.37</v>
      </c>
      <c r="N295" t="s">
        <v>30</v>
      </c>
      <c r="O295" t="s">
        <v>42</v>
      </c>
    </row>
    <row r="296" spans="1:15">
      <c r="A296">
        <v>295</v>
      </c>
      <c r="B296" s="1">
        <v>45924</v>
      </c>
      <c r="C296">
        <v>2025</v>
      </c>
      <c r="D296" t="s">
        <v>69</v>
      </c>
      <c r="E296" t="s">
        <v>59</v>
      </c>
      <c r="F296" t="s">
        <v>17</v>
      </c>
      <c r="G296" t="s">
        <v>18</v>
      </c>
      <c r="H296" t="s">
        <v>60</v>
      </c>
      <c r="I296" t="s">
        <v>57</v>
      </c>
      <c r="J296" t="s">
        <v>110</v>
      </c>
      <c r="K296">
        <v>4</v>
      </c>
      <c r="L296" s="2">
        <v>2007.14</v>
      </c>
      <c r="M296" s="2">
        <v>8028.56</v>
      </c>
      <c r="N296" t="s">
        <v>22</v>
      </c>
      <c r="O296" t="s">
        <v>23</v>
      </c>
    </row>
    <row r="297" spans="1:15">
      <c r="A297">
        <v>296</v>
      </c>
      <c r="B297" s="1">
        <v>45948</v>
      </c>
      <c r="C297">
        <v>2025</v>
      </c>
      <c r="D297" t="s">
        <v>65</v>
      </c>
      <c r="E297" t="s">
        <v>100</v>
      </c>
      <c r="F297" t="s">
        <v>79</v>
      </c>
      <c r="G297" t="s">
        <v>38</v>
      </c>
      <c r="H297" t="s">
        <v>54</v>
      </c>
      <c r="I297" t="s">
        <v>20</v>
      </c>
      <c r="J297" t="s">
        <v>93</v>
      </c>
      <c r="K297">
        <v>2</v>
      </c>
      <c r="L297" s="2">
        <v>967.44</v>
      </c>
      <c r="M297" s="2">
        <v>1934.88</v>
      </c>
      <c r="N297" t="s">
        <v>41</v>
      </c>
      <c r="O297" t="s">
        <v>23</v>
      </c>
    </row>
    <row r="298" spans="1:15">
      <c r="A298">
        <v>297</v>
      </c>
      <c r="B298" s="1">
        <v>45777</v>
      </c>
      <c r="C298">
        <v>2025</v>
      </c>
      <c r="D298" t="s">
        <v>86</v>
      </c>
      <c r="E298" t="s">
        <v>75</v>
      </c>
      <c r="F298" t="s">
        <v>26</v>
      </c>
      <c r="G298" t="s">
        <v>44</v>
      </c>
      <c r="H298" t="s">
        <v>60</v>
      </c>
      <c r="I298" t="s">
        <v>20</v>
      </c>
      <c r="J298" t="s">
        <v>34</v>
      </c>
      <c r="K298">
        <v>2</v>
      </c>
      <c r="L298" s="2">
        <v>2272.87</v>
      </c>
      <c r="M298" s="2">
        <v>4545.74</v>
      </c>
      <c r="N298" t="s">
        <v>22</v>
      </c>
      <c r="O298" t="s">
        <v>23</v>
      </c>
    </row>
    <row r="299" spans="1:15">
      <c r="A299">
        <v>298</v>
      </c>
      <c r="B299" s="1">
        <v>45866</v>
      </c>
      <c r="C299">
        <v>2025</v>
      </c>
      <c r="D299" t="s">
        <v>36</v>
      </c>
      <c r="E299" t="s">
        <v>61</v>
      </c>
      <c r="F299" t="s">
        <v>26</v>
      </c>
      <c r="G299" t="s">
        <v>44</v>
      </c>
      <c r="H299" t="s">
        <v>19</v>
      </c>
      <c r="I299" t="s">
        <v>20</v>
      </c>
      <c r="J299" t="s">
        <v>97</v>
      </c>
      <c r="K299">
        <v>2</v>
      </c>
      <c r="L299" s="2">
        <v>2981.7</v>
      </c>
      <c r="M299" s="2">
        <v>5963.4</v>
      </c>
      <c r="N299" t="s">
        <v>30</v>
      </c>
      <c r="O299" t="s">
        <v>23</v>
      </c>
    </row>
    <row r="300" spans="1:15">
      <c r="A300">
        <v>299</v>
      </c>
      <c r="B300" s="1">
        <v>45813</v>
      </c>
      <c r="C300">
        <v>2025</v>
      </c>
      <c r="D300" t="s">
        <v>101</v>
      </c>
      <c r="E300" t="s">
        <v>116</v>
      </c>
      <c r="F300" t="s">
        <v>26</v>
      </c>
      <c r="G300" t="s">
        <v>80</v>
      </c>
      <c r="H300" t="s">
        <v>54</v>
      </c>
      <c r="I300" t="s">
        <v>63</v>
      </c>
      <c r="J300" t="s">
        <v>64</v>
      </c>
      <c r="K300">
        <v>2</v>
      </c>
      <c r="L300" s="2">
        <v>1247.33</v>
      </c>
      <c r="M300" s="2">
        <v>2494.66</v>
      </c>
      <c r="N300" t="s">
        <v>22</v>
      </c>
      <c r="O300" t="s">
        <v>23</v>
      </c>
    </row>
    <row r="301" spans="1:15">
      <c r="A301">
        <v>300</v>
      </c>
      <c r="B301" s="1">
        <v>46004</v>
      </c>
      <c r="C301">
        <v>2025</v>
      </c>
      <c r="D301" t="s">
        <v>71</v>
      </c>
      <c r="E301" t="s">
        <v>134</v>
      </c>
      <c r="F301" t="s">
        <v>79</v>
      </c>
      <c r="G301" t="s">
        <v>18</v>
      </c>
      <c r="H301" t="s">
        <v>67</v>
      </c>
      <c r="I301" t="s">
        <v>39</v>
      </c>
      <c r="J301" t="s">
        <v>40</v>
      </c>
      <c r="K301">
        <v>2</v>
      </c>
      <c r="L301" s="2">
        <v>206.68</v>
      </c>
      <c r="M301" s="2">
        <v>413.36</v>
      </c>
      <c r="N301" t="s">
        <v>30</v>
      </c>
      <c r="O301" t="s">
        <v>23</v>
      </c>
    </row>
    <row r="302" spans="1:15">
      <c r="A302">
        <v>301</v>
      </c>
      <c r="B302" s="1">
        <v>45710</v>
      </c>
      <c r="C302">
        <v>2025</v>
      </c>
      <c r="D302" t="s">
        <v>24</v>
      </c>
      <c r="E302" t="s">
        <v>130</v>
      </c>
      <c r="F302" t="s">
        <v>79</v>
      </c>
      <c r="G302" t="s">
        <v>80</v>
      </c>
      <c r="H302" t="s">
        <v>45</v>
      </c>
      <c r="I302" t="s">
        <v>28</v>
      </c>
      <c r="J302" t="s">
        <v>55</v>
      </c>
      <c r="K302">
        <v>1</v>
      </c>
      <c r="L302" s="2">
        <v>3314.95</v>
      </c>
      <c r="M302" s="2">
        <v>3314.95</v>
      </c>
      <c r="N302" t="s">
        <v>22</v>
      </c>
      <c r="O302" t="s">
        <v>23</v>
      </c>
    </row>
    <row r="303" spans="1:15">
      <c r="A303">
        <v>302</v>
      </c>
      <c r="B303" s="1">
        <v>45980</v>
      </c>
      <c r="C303">
        <v>2025</v>
      </c>
      <c r="D303" t="s">
        <v>15</v>
      </c>
      <c r="E303" t="s">
        <v>53</v>
      </c>
      <c r="F303" t="s">
        <v>26</v>
      </c>
      <c r="G303" t="s">
        <v>38</v>
      </c>
      <c r="H303" t="s">
        <v>60</v>
      </c>
      <c r="I303" t="s">
        <v>20</v>
      </c>
      <c r="J303" t="s">
        <v>97</v>
      </c>
      <c r="K303">
        <v>1</v>
      </c>
      <c r="L303" s="2">
        <v>2826.91</v>
      </c>
      <c r="M303" s="2">
        <v>2826.91</v>
      </c>
      <c r="N303" t="s">
        <v>35</v>
      </c>
      <c r="O303" t="s">
        <v>42</v>
      </c>
    </row>
    <row r="304" spans="1:15">
      <c r="A304">
        <v>303</v>
      </c>
      <c r="B304" s="1">
        <v>45827</v>
      </c>
      <c r="C304">
        <v>2025</v>
      </c>
      <c r="D304" t="s">
        <v>101</v>
      </c>
      <c r="E304" t="s">
        <v>50</v>
      </c>
      <c r="F304" t="s">
        <v>17</v>
      </c>
      <c r="G304" t="s">
        <v>38</v>
      </c>
      <c r="H304" t="s">
        <v>73</v>
      </c>
      <c r="I304" t="s">
        <v>20</v>
      </c>
      <c r="J304" t="s">
        <v>21</v>
      </c>
      <c r="K304">
        <v>4</v>
      </c>
      <c r="L304" s="2">
        <v>1418.17</v>
      </c>
      <c r="M304" s="2">
        <v>5672.68</v>
      </c>
      <c r="N304" t="s">
        <v>35</v>
      </c>
      <c r="O304" t="s">
        <v>23</v>
      </c>
    </row>
    <row r="305" spans="1:15">
      <c r="A305">
        <v>304</v>
      </c>
      <c r="B305" s="1">
        <v>45876</v>
      </c>
      <c r="C305">
        <v>2025</v>
      </c>
      <c r="D305" t="s">
        <v>47</v>
      </c>
      <c r="E305" t="s">
        <v>99</v>
      </c>
      <c r="F305" t="s">
        <v>26</v>
      </c>
      <c r="G305" t="s">
        <v>80</v>
      </c>
      <c r="H305" t="s">
        <v>62</v>
      </c>
      <c r="I305" t="s">
        <v>28</v>
      </c>
      <c r="J305" t="s">
        <v>74</v>
      </c>
      <c r="K305">
        <v>2</v>
      </c>
      <c r="L305" s="2">
        <v>4719.4399999999996</v>
      </c>
      <c r="M305" s="2">
        <v>9438.8799999999992</v>
      </c>
      <c r="N305" t="s">
        <v>30</v>
      </c>
      <c r="O305" t="s">
        <v>23</v>
      </c>
    </row>
    <row r="306" spans="1:15">
      <c r="A306">
        <v>305</v>
      </c>
      <c r="B306" s="1">
        <v>45913</v>
      </c>
      <c r="C306">
        <v>2025</v>
      </c>
      <c r="D306" t="s">
        <v>69</v>
      </c>
      <c r="E306" t="s">
        <v>125</v>
      </c>
      <c r="F306" t="s">
        <v>26</v>
      </c>
      <c r="G306" t="s">
        <v>80</v>
      </c>
      <c r="H306" t="s">
        <v>67</v>
      </c>
      <c r="I306" t="s">
        <v>57</v>
      </c>
      <c r="J306" t="s">
        <v>113</v>
      </c>
      <c r="K306">
        <v>1</v>
      </c>
      <c r="L306" s="2">
        <v>2185.2600000000002</v>
      </c>
      <c r="M306" s="2">
        <v>2185.2600000000002</v>
      </c>
      <c r="N306" t="s">
        <v>30</v>
      </c>
      <c r="O306" t="s">
        <v>23</v>
      </c>
    </row>
    <row r="307" spans="1:15">
      <c r="A307">
        <v>306</v>
      </c>
      <c r="B307" s="1">
        <v>45936</v>
      </c>
      <c r="C307">
        <v>2025</v>
      </c>
      <c r="D307" t="s">
        <v>65</v>
      </c>
      <c r="E307" t="s">
        <v>123</v>
      </c>
      <c r="F307" t="s">
        <v>26</v>
      </c>
      <c r="G307" t="s">
        <v>18</v>
      </c>
      <c r="H307" t="s">
        <v>67</v>
      </c>
      <c r="I307" t="s">
        <v>20</v>
      </c>
      <c r="J307" t="s">
        <v>93</v>
      </c>
      <c r="K307">
        <v>3</v>
      </c>
      <c r="L307" s="2">
        <v>996.56</v>
      </c>
      <c r="M307" s="2">
        <v>2989.68</v>
      </c>
      <c r="N307" t="s">
        <v>41</v>
      </c>
      <c r="O307" t="s">
        <v>23</v>
      </c>
    </row>
    <row r="308" spans="1:15">
      <c r="A308">
        <v>307</v>
      </c>
      <c r="B308" s="1">
        <v>45750</v>
      </c>
      <c r="C308">
        <v>2025</v>
      </c>
      <c r="D308" t="s">
        <v>86</v>
      </c>
      <c r="E308" t="s">
        <v>111</v>
      </c>
      <c r="F308" t="s">
        <v>17</v>
      </c>
      <c r="G308" t="s">
        <v>33</v>
      </c>
      <c r="H308" t="s">
        <v>62</v>
      </c>
      <c r="I308" t="s">
        <v>20</v>
      </c>
      <c r="J308" t="s">
        <v>97</v>
      </c>
      <c r="K308">
        <v>5</v>
      </c>
      <c r="L308" s="2">
        <v>2897.88</v>
      </c>
      <c r="M308" s="2">
        <v>14489.4</v>
      </c>
      <c r="N308" t="s">
        <v>22</v>
      </c>
      <c r="O308" t="s">
        <v>23</v>
      </c>
    </row>
    <row r="309" spans="1:15">
      <c r="A309">
        <v>308</v>
      </c>
      <c r="B309" s="1">
        <v>45957</v>
      </c>
      <c r="C309">
        <v>2025</v>
      </c>
      <c r="D309" t="s">
        <v>65</v>
      </c>
      <c r="E309" t="s">
        <v>107</v>
      </c>
      <c r="F309" t="s">
        <v>26</v>
      </c>
      <c r="G309" t="s">
        <v>44</v>
      </c>
      <c r="H309" t="s">
        <v>45</v>
      </c>
      <c r="I309" t="s">
        <v>28</v>
      </c>
      <c r="J309" t="s">
        <v>29</v>
      </c>
      <c r="K309">
        <v>1</v>
      </c>
      <c r="L309" s="2">
        <v>5138.67</v>
      </c>
      <c r="M309" s="2">
        <v>5138.67</v>
      </c>
      <c r="N309" t="s">
        <v>22</v>
      </c>
      <c r="O309" t="s">
        <v>23</v>
      </c>
    </row>
    <row r="310" spans="1:15">
      <c r="A310">
        <v>309</v>
      </c>
      <c r="B310" s="1">
        <v>45746</v>
      </c>
      <c r="C310">
        <v>2025</v>
      </c>
      <c r="D310" t="s">
        <v>81</v>
      </c>
      <c r="E310" t="s">
        <v>56</v>
      </c>
      <c r="F310" t="s">
        <v>17</v>
      </c>
      <c r="G310" t="s">
        <v>18</v>
      </c>
      <c r="H310" t="s">
        <v>62</v>
      </c>
      <c r="I310" t="s">
        <v>28</v>
      </c>
      <c r="J310" t="s">
        <v>29</v>
      </c>
      <c r="K310">
        <v>5</v>
      </c>
      <c r="L310" s="2">
        <v>5183.2700000000004</v>
      </c>
      <c r="M310" s="2">
        <v>25916.35</v>
      </c>
      <c r="N310" t="s">
        <v>41</v>
      </c>
      <c r="O310" t="s">
        <v>70</v>
      </c>
    </row>
    <row r="311" spans="1:15">
      <c r="A311">
        <v>310</v>
      </c>
      <c r="B311" s="1">
        <v>45946</v>
      </c>
      <c r="C311">
        <v>2025</v>
      </c>
      <c r="D311" t="s">
        <v>65</v>
      </c>
      <c r="E311" t="s">
        <v>135</v>
      </c>
      <c r="F311" t="s">
        <v>26</v>
      </c>
      <c r="G311" t="s">
        <v>44</v>
      </c>
      <c r="H311" t="s">
        <v>62</v>
      </c>
      <c r="I311" t="s">
        <v>28</v>
      </c>
      <c r="J311" t="s">
        <v>29</v>
      </c>
      <c r="K311">
        <v>4</v>
      </c>
      <c r="L311" s="2">
        <v>5325.79</v>
      </c>
      <c r="M311" s="2">
        <v>21303.16</v>
      </c>
      <c r="N311" t="s">
        <v>30</v>
      </c>
      <c r="O311" t="s">
        <v>23</v>
      </c>
    </row>
    <row r="312" spans="1:15">
      <c r="A312">
        <v>311</v>
      </c>
      <c r="B312" s="1">
        <v>45668</v>
      </c>
      <c r="C312">
        <v>2025</v>
      </c>
      <c r="D312" t="s">
        <v>52</v>
      </c>
      <c r="E312" t="s">
        <v>126</v>
      </c>
      <c r="F312" t="s">
        <v>26</v>
      </c>
      <c r="G312" t="s">
        <v>80</v>
      </c>
      <c r="H312" t="s">
        <v>54</v>
      </c>
      <c r="I312" t="s">
        <v>63</v>
      </c>
      <c r="J312" t="s">
        <v>109</v>
      </c>
      <c r="K312">
        <v>1</v>
      </c>
      <c r="L312" s="2">
        <v>782.87</v>
      </c>
      <c r="M312" s="2">
        <v>782.87</v>
      </c>
      <c r="N312" t="s">
        <v>30</v>
      </c>
      <c r="O312" t="s">
        <v>42</v>
      </c>
    </row>
    <row r="313" spans="1:15">
      <c r="A313">
        <v>312</v>
      </c>
      <c r="B313" s="1">
        <v>45823</v>
      </c>
      <c r="C313">
        <v>2025</v>
      </c>
      <c r="D313" t="s">
        <v>101</v>
      </c>
      <c r="E313" t="s">
        <v>108</v>
      </c>
      <c r="F313" t="s">
        <v>26</v>
      </c>
      <c r="G313" t="s">
        <v>44</v>
      </c>
      <c r="H313" t="s">
        <v>67</v>
      </c>
      <c r="I313" t="s">
        <v>20</v>
      </c>
      <c r="J313" t="s">
        <v>21</v>
      </c>
      <c r="K313">
        <v>2</v>
      </c>
      <c r="L313" s="2">
        <v>1514.58</v>
      </c>
      <c r="M313" s="2">
        <v>3029.16</v>
      </c>
      <c r="N313" t="s">
        <v>41</v>
      </c>
      <c r="O313" t="s">
        <v>70</v>
      </c>
    </row>
    <row r="314" spans="1:15">
      <c r="A314">
        <v>313</v>
      </c>
      <c r="B314" s="1">
        <v>45849</v>
      </c>
      <c r="C314">
        <v>2025</v>
      </c>
      <c r="D314" t="s">
        <v>36</v>
      </c>
      <c r="E314" t="s">
        <v>16</v>
      </c>
      <c r="F314" t="s">
        <v>79</v>
      </c>
      <c r="G314" t="s">
        <v>38</v>
      </c>
      <c r="H314" t="s">
        <v>73</v>
      </c>
      <c r="I314" t="s">
        <v>57</v>
      </c>
      <c r="J314" t="s">
        <v>98</v>
      </c>
      <c r="K314">
        <v>3</v>
      </c>
      <c r="L314" s="2">
        <v>877.61</v>
      </c>
      <c r="M314" s="2">
        <v>2632.83</v>
      </c>
      <c r="N314" t="s">
        <v>41</v>
      </c>
      <c r="O314" t="s">
        <v>23</v>
      </c>
    </row>
    <row r="315" spans="1:15">
      <c r="A315">
        <v>314</v>
      </c>
      <c r="B315" s="1">
        <v>45945</v>
      </c>
      <c r="C315">
        <v>2025</v>
      </c>
      <c r="D315" t="s">
        <v>65</v>
      </c>
      <c r="E315" t="s">
        <v>127</v>
      </c>
      <c r="F315" t="s">
        <v>26</v>
      </c>
      <c r="G315" t="s">
        <v>33</v>
      </c>
      <c r="H315" t="s">
        <v>90</v>
      </c>
      <c r="I315" t="s">
        <v>63</v>
      </c>
      <c r="J315" t="s">
        <v>89</v>
      </c>
      <c r="K315">
        <v>2</v>
      </c>
      <c r="L315" s="2">
        <v>3262.54</v>
      </c>
      <c r="M315" s="2">
        <v>6525.08</v>
      </c>
      <c r="N315" t="s">
        <v>30</v>
      </c>
      <c r="O315" t="s">
        <v>23</v>
      </c>
    </row>
    <row r="316" spans="1:15">
      <c r="A316">
        <v>315</v>
      </c>
      <c r="B316" s="1">
        <v>45658</v>
      </c>
      <c r="C316">
        <v>2025</v>
      </c>
      <c r="D316" t="s">
        <v>52</v>
      </c>
      <c r="E316" t="s">
        <v>133</v>
      </c>
      <c r="F316" t="s">
        <v>26</v>
      </c>
      <c r="G316" t="s">
        <v>18</v>
      </c>
      <c r="H316" t="s">
        <v>45</v>
      </c>
      <c r="I316" t="s">
        <v>63</v>
      </c>
      <c r="J316" t="s">
        <v>109</v>
      </c>
      <c r="K316">
        <v>5</v>
      </c>
      <c r="L316" s="2">
        <v>754.16</v>
      </c>
      <c r="M316" s="2">
        <v>3770.8</v>
      </c>
      <c r="N316" t="s">
        <v>35</v>
      </c>
      <c r="O316" t="s">
        <v>70</v>
      </c>
    </row>
    <row r="317" spans="1:15">
      <c r="A317">
        <v>316</v>
      </c>
      <c r="B317" s="1">
        <v>45730</v>
      </c>
      <c r="C317">
        <v>2025</v>
      </c>
      <c r="D317" t="s">
        <v>81</v>
      </c>
      <c r="E317" t="s">
        <v>116</v>
      </c>
      <c r="F317" t="s">
        <v>26</v>
      </c>
      <c r="G317" t="s">
        <v>44</v>
      </c>
      <c r="H317" t="s">
        <v>54</v>
      </c>
      <c r="I317" t="s">
        <v>39</v>
      </c>
      <c r="J317" t="s">
        <v>76</v>
      </c>
      <c r="K317">
        <v>2</v>
      </c>
      <c r="L317" s="2">
        <v>126.63</v>
      </c>
      <c r="M317" s="2">
        <v>253.26</v>
      </c>
      <c r="N317" t="s">
        <v>22</v>
      </c>
      <c r="O317" t="s">
        <v>23</v>
      </c>
    </row>
    <row r="318" spans="1:15">
      <c r="A318">
        <v>317</v>
      </c>
      <c r="B318" s="1">
        <v>45765</v>
      </c>
      <c r="C318">
        <v>2025</v>
      </c>
      <c r="D318" t="s">
        <v>86</v>
      </c>
      <c r="E318" t="s">
        <v>114</v>
      </c>
      <c r="F318" t="s">
        <v>17</v>
      </c>
      <c r="G318" t="s">
        <v>44</v>
      </c>
      <c r="H318" t="s">
        <v>27</v>
      </c>
      <c r="I318" t="s">
        <v>28</v>
      </c>
      <c r="J318" t="s">
        <v>55</v>
      </c>
      <c r="K318">
        <v>3</v>
      </c>
      <c r="L318" s="2">
        <v>3396.83</v>
      </c>
      <c r="M318" s="2">
        <v>10190.49</v>
      </c>
      <c r="N318" t="s">
        <v>22</v>
      </c>
      <c r="O318" t="s">
        <v>23</v>
      </c>
    </row>
    <row r="319" spans="1:15">
      <c r="A319">
        <v>318</v>
      </c>
      <c r="B319" s="1">
        <v>45743</v>
      </c>
      <c r="C319">
        <v>2025</v>
      </c>
      <c r="D319" t="s">
        <v>81</v>
      </c>
      <c r="E319" t="s">
        <v>125</v>
      </c>
      <c r="F319" t="s">
        <v>26</v>
      </c>
      <c r="G319" t="s">
        <v>38</v>
      </c>
      <c r="H319" t="s">
        <v>49</v>
      </c>
      <c r="I319" t="s">
        <v>57</v>
      </c>
      <c r="J319" t="s">
        <v>113</v>
      </c>
      <c r="K319">
        <v>4</v>
      </c>
      <c r="L319" s="2">
        <v>2257.96</v>
      </c>
      <c r="M319" s="2">
        <v>9031.84</v>
      </c>
      <c r="N319" t="s">
        <v>30</v>
      </c>
      <c r="O319" t="s">
        <v>23</v>
      </c>
    </row>
    <row r="320" spans="1:15">
      <c r="A320">
        <v>319</v>
      </c>
      <c r="B320" s="1">
        <v>45695</v>
      </c>
      <c r="C320">
        <v>2025</v>
      </c>
      <c r="D320" t="s">
        <v>24</v>
      </c>
      <c r="E320" t="s">
        <v>114</v>
      </c>
      <c r="F320" t="s">
        <v>26</v>
      </c>
      <c r="G320" t="s">
        <v>80</v>
      </c>
      <c r="H320" t="s">
        <v>27</v>
      </c>
      <c r="I320" t="s">
        <v>20</v>
      </c>
      <c r="J320" t="s">
        <v>97</v>
      </c>
      <c r="K320">
        <v>1</v>
      </c>
      <c r="L320" s="2">
        <v>2933.76</v>
      </c>
      <c r="M320" s="2">
        <v>2933.76</v>
      </c>
      <c r="N320" t="s">
        <v>30</v>
      </c>
      <c r="O320" t="s">
        <v>23</v>
      </c>
    </row>
    <row r="321" spans="1:15">
      <c r="A321">
        <v>320</v>
      </c>
      <c r="B321" s="1">
        <v>45938</v>
      </c>
      <c r="C321">
        <v>2025</v>
      </c>
      <c r="D321" t="s">
        <v>65</v>
      </c>
      <c r="E321" t="s">
        <v>111</v>
      </c>
      <c r="F321" t="s">
        <v>26</v>
      </c>
      <c r="G321" t="s">
        <v>44</v>
      </c>
      <c r="H321" t="s">
        <v>27</v>
      </c>
      <c r="I321" t="s">
        <v>20</v>
      </c>
      <c r="J321" t="s">
        <v>97</v>
      </c>
      <c r="K321">
        <v>5</v>
      </c>
      <c r="L321" s="2">
        <v>3173.64</v>
      </c>
      <c r="M321" s="2">
        <v>15868.2</v>
      </c>
      <c r="N321" t="s">
        <v>30</v>
      </c>
      <c r="O321" t="s">
        <v>23</v>
      </c>
    </row>
    <row r="322" spans="1:15">
      <c r="A322">
        <v>321</v>
      </c>
      <c r="B322" s="1">
        <v>45880</v>
      </c>
      <c r="C322">
        <v>2025</v>
      </c>
      <c r="D322" t="s">
        <v>47</v>
      </c>
      <c r="E322" t="s">
        <v>132</v>
      </c>
      <c r="F322" t="s">
        <v>26</v>
      </c>
      <c r="G322" t="s">
        <v>18</v>
      </c>
      <c r="H322" t="s">
        <v>67</v>
      </c>
      <c r="I322" t="s">
        <v>28</v>
      </c>
      <c r="J322" t="s">
        <v>55</v>
      </c>
      <c r="K322">
        <v>1</v>
      </c>
      <c r="L322" s="2">
        <v>3428.08</v>
      </c>
      <c r="M322" s="2">
        <v>3428.08</v>
      </c>
      <c r="N322" t="s">
        <v>41</v>
      </c>
      <c r="O322" t="s">
        <v>23</v>
      </c>
    </row>
    <row r="323" spans="1:15">
      <c r="A323">
        <v>322</v>
      </c>
      <c r="B323" s="1">
        <v>45810</v>
      </c>
      <c r="C323">
        <v>2025</v>
      </c>
      <c r="D323" t="s">
        <v>101</v>
      </c>
      <c r="E323" t="s">
        <v>25</v>
      </c>
      <c r="F323" t="s">
        <v>17</v>
      </c>
      <c r="G323" t="s">
        <v>80</v>
      </c>
      <c r="H323" t="s">
        <v>62</v>
      </c>
      <c r="I323" t="s">
        <v>28</v>
      </c>
      <c r="J323" t="s">
        <v>55</v>
      </c>
      <c r="K323">
        <v>1</v>
      </c>
      <c r="L323" s="2">
        <v>3454.03</v>
      </c>
      <c r="M323" s="2">
        <v>3454.03</v>
      </c>
      <c r="N323" t="s">
        <v>41</v>
      </c>
      <c r="O323" t="s">
        <v>23</v>
      </c>
    </row>
    <row r="324" spans="1:15">
      <c r="A324">
        <v>323</v>
      </c>
      <c r="B324" s="1">
        <v>45702</v>
      </c>
      <c r="C324">
        <v>2025</v>
      </c>
      <c r="D324" t="s">
        <v>24</v>
      </c>
      <c r="E324" t="s">
        <v>128</v>
      </c>
      <c r="F324" t="s">
        <v>26</v>
      </c>
      <c r="G324" t="s">
        <v>33</v>
      </c>
      <c r="H324" t="s">
        <v>19</v>
      </c>
      <c r="I324" t="s">
        <v>39</v>
      </c>
      <c r="J324" t="s">
        <v>85</v>
      </c>
      <c r="K324">
        <v>2</v>
      </c>
      <c r="L324" s="2">
        <v>265.51</v>
      </c>
      <c r="M324" s="2">
        <v>531.02</v>
      </c>
      <c r="N324" t="s">
        <v>22</v>
      </c>
      <c r="O324" t="s">
        <v>42</v>
      </c>
    </row>
    <row r="325" spans="1:15">
      <c r="A325">
        <v>324</v>
      </c>
      <c r="B325" s="1">
        <v>45815</v>
      </c>
      <c r="C325">
        <v>2025</v>
      </c>
      <c r="D325" t="s">
        <v>101</v>
      </c>
      <c r="E325" t="s">
        <v>100</v>
      </c>
      <c r="F325" t="s">
        <v>26</v>
      </c>
      <c r="G325" t="s">
        <v>18</v>
      </c>
      <c r="H325" t="s">
        <v>27</v>
      </c>
      <c r="I325" t="s">
        <v>57</v>
      </c>
      <c r="J325" t="s">
        <v>113</v>
      </c>
      <c r="K325">
        <v>4</v>
      </c>
      <c r="L325" s="2">
        <v>2407.94</v>
      </c>
      <c r="M325" s="2">
        <v>9631.76</v>
      </c>
      <c r="N325" t="s">
        <v>30</v>
      </c>
      <c r="O325" t="s">
        <v>23</v>
      </c>
    </row>
    <row r="326" spans="1:15">
      <c r="A326">
        <v>325</v>
      </c>
      <c r="B326" s="1">
        <v>45853</v>
      </c>
      <c r="C326">
        <v>2025</v>
      </c>
      <c r="D326" t="s">
        <v>36</v>
      </c>
      <c r="E326" t="s">
        <v>129</v>
      </c>
      <c r="F326" t="s">
        <v>26</v>
      </c>
      <c r="G326" t="s">
        <v>80</v>
      </c>
      <c r="H326" t="s">
        <v>90</v>
      </c>
      <c r="I326" t="s">
        <v>39</v>
      </c>
      <c r="J326" t="s">
        <v>46</v>
      </c>
      <c r="K326">
        <v>4</v>
      </c>
      <c r="L326" s="2">
        <v>329.93</v>
      </c>
      <c r="M326" s="2">
        <v>1319.72</v>
      </c>
      <c r="N326" t="s">
        <v>35</v>
      </c>
      <c r="O326" t="s">
        <v>23</v>
      </c>
    </row>
    <row r="327" spans="1:15">
      <c r="A327">
        <v>326</v>
      </c>
      <c r="B327" s="1">
        <v>46014</v>
      </c>
      <c r="C327">
        <v>2025</v>
      </c>
      <c r="D327" t="s">
        <v>71</v>
      </c>
      <c r="E327" t="s">
        <v>96</v>
      </c>
      <c r="F327" t="s">
        <v>79</v>
      </c>
      <c r="G327" t="s">
        <v>18</v>
      </c>
      <c r="H327" t="s">
        <v>45</v>
      </c>
      <c r="I327" t="s">
        <v>20</v>
      </c>
      <c r="J327" t="s">
        <v>21</v>
      </c>
      <c r="K327">
        <v>3</v>
      </c>
      <c r="L327" s="2">
        <v>1554.44</v>
      </c>
      <c r="M327" s="2">
        <v>4663.32</v>
      </c>
      <c r="N327" t="s">
        <v>35</v>
      </c>
      <c r="O327" t="s">
        <v>42</v>
      </c>
    </row>
    <row r="328" spans="1:15">
      <c r="A328">
        <v>327</v>
      </c>
      <c r="B328" s="1">
        <v>45925</v>
      </c>
      <c r="C328">
        <v>2025</v>
      </c>
      <c r="D328" t="s">
        <v>69</v>
      </c>
      <c r="E328" t="s">
        <v>118</v>
      </c>
      <c r="F328" t="s">
        <v>26</v>
      </c>
      <c r="G328" t="s">
        <v>38</v>
      </c>
      <c r="H328" t="s">
        <v>62</v>
      </c>
      <c r="I328" t="s">
        <v>57</v>
      </c>
      <c r="J328" t="s">
        <v>113</v>
      </c>
      <c r="K328">
        <v>5</v>
      </c>
      <c r="L328" s="2">
        <v>2404.29</v>
      </c>
      <c r="M328" s="2">
        <v>12021.45</v>
      </c>
      <c r="N328" t="s">
        <v>30</v>
      </c>
      <c r="O328" t="s">
        <v>23</v>
      </c>
    </row>
    <row r="329" spans="1:15">
      <c r="A329">
        <v>328</v>
      </c>
      <c r="B329" s="1">
        <v>45887</v>
      </c>
      <c r="C329">
        <v>2025</v>
      </c>
      <c r="D329" t="s">
        <v>47</v>
      </c>
      <c r="E329" t="s">
        <v>16</v>
      </c>
      <c r="F329" t="s">
        <v>26</v>
      </c>
      <c r="G329" t="s">
        <v>44</v>
      </c>
      <c r="H329" t="s">
        <v>27</v>
      </c>
      <c r="I329" t="s">
        <v>28</v>
      </c>
      <c r="J329" t="s">
        <v>29</v>
      </c>
      <c r="K329">
        <v>2</v>
      </c>
      <c r="L329" s="2">
        <v>5495.14</v>
      </c>
      <c r="M329" s="2">
        <v>10990.28</v>
      </c>
      <c r="N329" t="s">
        <v>30</v>
      </c>
      <c r="O329" t="s">
        <v>70</v>
      </c>
    </row>
    <row r="330" spans="1:15">
      <c r="A330">
        <v>329</v>
      </c>
      <c r="B330" s="1">
        <v>45979</v>
      </c>
      <c r="C330">
        <v>2025</v>
      </c>
      <c r="D330" t="s">
        <v>15</v>
      </c>
      <c r="E330" t="s">
        <v>108</v>
      </c>
      <c r="F330" t="s">
        <v>17</v>
      </c>
      <c r="G330" t="s">
        <v>44</v>
      </c>
      <c r="H330" t="s">
        <v>27</v>
      </c>
      <c r="I330" t="s">
        <v>28</v>
      </c>
      <c r="J330" t="s">
        <v>74</v>
      </c>
      <c r="K330">
        <v>3</v>
      </c>
      <c r="L330" s="2">
        <v>4720.79</v>
      </c>
      <c r="M330" s="2">
        <v>14162.37</v>
      </c>
      <c r="N330" t="s">
        <v>22</v>
      </c>
      <c r="O330" t="s">
        <v>23</v>
      </c>
    </row>
    <row r="331" spans="1:15">
      <c r="A331">
        <v>330</v>
      </c>
      <c r="B331" s="1">
        <v>45799</v>
      </c>
      <c r="C331">
        <v>2025</v>
      </c>
      <c r="D331" t="s">
        <v>31</v>
      </c>
      <c r="E331" t="s">
        <v>126</v>
      </c>
      <c r="F331" t="s">
        <v>17</v>
      </c>
      <c r="G331" t="s">
        <v>38</v>
      </c>
      <c r="H331" t="s">
        <v>19</v>
      </c>
      <c r="I331" t="s">
        <v>63</v>
      </c>
      <c r="J331" t="s">
        <v>109</v>
      </c>
      <c r="K331">
        <v>1</v>
      </c>
      <c r="L331" s="2">
        <v>826.47</v>
      </c>
      <c r="M331" s="2">
        <v>826.47</v>
      </c>
      <c r="N331" t="s">
        <v>22</v>
      </c>
      <c r="O331" t="s">
        <v>23</v>
      </c>
    </row>
    <row r="332" spans="1:15">
      <c r="A332">
        <v>331</v>
      </c>
      <c r="B332" s="1">
        <v>45948</v>
      </c>
      <c r="C332">
        <v>2025</v>
      </c>
      <c r="D332" t="s">
        <v>65</v>
      </c>
      <c r="E332" t="s">
        <v>114</v>
      </c>
      <c r="F332" t="s">
        <v>17</v>
      </c>
      <c r="G332" t="s">
        <v>18</v>
      </c>
      <c r="H332" t="s">
        <v>54</v>
      </c>
      <c r="I332" t="s">
        <v>63</v>
      </c>
      <c r="J332" t="s">
        <v>64</v>
      </c>
      <c r="K332">
        <v>1</v>
      </c>
      <c r="L332" s="2">
        <v>1208.02</v>
      </c>
      <c r="M332" s="2">
        <v>1208.02</v>
      </c>
      <c r="N332" t="s">
        <v>22</v>
      </c>
      <c r="O332" t="s">
        <v>23</v>
      </c>
    </row>
    <row r="333" spans="1:15">
      <c r="A333">
        <v>332</v>
      </c>
      <c r="B333" s="1">
        <v>45993</v>
      </c>
      <c r="C333">
        <v>2025</v>
      </c>
      <c r="D333" t="s">
        <v>71</v>
      </c>
      <c r="E333" t="s">
        <v>134</v>
      </c>
      <c r="F333" t="s">
        <v>26</v>
      </c>
      <c r="G333" t="s">
        <v>18</v>
      </c>
      <c r="H333" t="s">
        <v>27</v>
      </c>
      <c r="I333" t="s">
        <v>57</v>
      </c>
      <c r="J333" t="s">
        <v>113</v>
      </c>
      <c r="K333">
        <v>1</v>
      </c>
      <c r="L333" s="2">
        <v>2208.5700000000002</v>
      </c>
      <c r="M333" s="2">
        <v>2208.5700000000002</v>
      </c>
      <c r="N333" t="s">
        <v>35</v>
      </c>
      <c r="O333" t="s">
        <v>23</v>
      </c>
    </row>
    <row r="334" spans="1:15">
      <c r="A334">
        <v>333</v>
      </c>
      <c r="B334" s="1">
        <v>45827</v>
      </c>
      <c r="C334">
        <v>2025</v>
      </c>
      <c r="D334" t="s">
        <v>101</v>
      </c>
      <c r="E334" t="s">
        <v>111</v>
      </c>
      <c r="F334" t="s">
        <v>26</v>
      </c>
      <c r="G334" t="s">
        <v>33</v>
      </c>
      <c r="H334" t="s">
        <v>90</v>
      </c>
      <c r="I334" t="s">
        <v>28</v>
      </c>
      <c r="J334" t="s">
        <v>55</v>
      </c>
      <c r="K334">
        <v>4</v>
      </c>
      <c r="L334" s="2">
        <v>3675.7</v>
      </c>
      <c r="M334" s="2">
        <v>14702.8</v>
      </c>
      <c r="N334" t="s">
        <v>41</v>
      </c>
      <c r="O334" t="s">
        <v>23</v>
      </c>
    </row>
    <row r="335" spans="1:15">
      <c r="A335">
        <v>334</v>
      </c>
      <c r="B335" s="1">
        <v>45909</v>
      </c>
      <c r="C335">
        <v>2025</v>
      </c>
      <c r="D335" t="s">
        <v>69</v>
      </c>
      <c r="E335" t="s">
        <v>56</v>
      </c>
      <c r="F335" t="s">
        <v>26</v>
      </c>
      <c r="G335" t="s">
        <v>33</v>
      </c>
      <c r="H335" t="s">
        <v>90</v>
      </c>
      <c r="I335" t="s">
        <v>20</v>
      </c>
      <c r="J335" t="s">
        <v>34</v>
      </c>
      <c r="K335">
        <v>2</v>
      </c>
      <c r="L335" s="2">
        <v>2146.35</v>
      </c>
      <c r="M335" s="2">
        <v>4292.7</v>
      </c>
      <c r="N335" t="s">
        <v>22</v>
      </c>
      <c r="O335" t="s">
        <v>23</v>
      </c>
    </row>
    <row r="336" spans="1:15">
      <c r="A336">
        <v>335</v>
      </c>
      <c r="B336" s="1">
        <v>45703</v>
      </c>
      <c r="C336">
        <v>2025</v>
      </c>
      <c r="D336" t="s">
        <v>24</v>
      </c>
      <c r="E336" t="s">
        <v>96</v>
      </c>
      <c r="F336" t="s">
        <v>17</v>
      </c>
      <c r="G336" t="s">
        <v>18</v>
      </c>
      <c r="H336" t="s">
        <v>54</v>
      </c>
      <c r="I336" t="s">
        <v>28</v>
      </c>
      <c r="J336" t="s">
        <v>51</v>
      </c>
      <c r="K336">
        <v>2</v>
      </c>
      <c r="L336" s="2">
        <v>7346.23</v>
      </c>
      <c r="M336" s="2">
        <v>14692.46</v>
      </c>
      <c r="N336" t="s">
        <v>35</v>
      </c>
      <c r="O336" t="s">
        <v>23</v>
      </c>
    </row>
    <row r="337" spans="1:15">
      <c r="A337">
        <v>336</v>
      </c>
      <c r="B337" s="1">
        <v>45739</v>
      </c>
      <c r="C337">
        <v>2025</v>
      </c>
      <c r="D337" t="s">
        <v>81</v>
      </c>
      <c r="E337" t="s">
        <v>130</v>
      </c>
      <c r="F337" t="s">
        <v>79</v>
      </c>
      <c r="G337" t="s">
        <v>18</v>
      </c>
      <c r="H337" t="s">
        <v>62</v>
      </c>
      <c r="I337" t="s">
        <v>20</v>
      </c>
      <c r="J337" t="s">
        <v>97</v>
      </c>
      <c r="K337">
        <v>5</v>
      </c>
      <c r="L337" s="2">
        <v>2964.23</v>
      </c>
      <c r="M337" s="2">
        <v>14821.15</v>
      </c>
      <c r="N337" t="s">
        <v>30</v>
      </c>
      <c r="O337" t="s">
        <v>23</v>
      </c>
    </row>
    <row r="338" spans="1:15">
      <c r="A338">
        <v>337</v>
      </c>
      <c r="B338" s="1">
        <v>45760</v>
      </c>
      <c r="C338">
        <v>2025</v>
      </c>
      <c r="D338" t="s">
        <v>86</v>
      </c>
      <c r="E338" t="s">
        <v>108</v>
      </c>
      <c r="F338" t="s">
        <v>26</v>
      </c>
      <c r="G338" t="s">
        <v>80</v>
      </c>
      <c r="H338" t="s">
        <v>90</v>
      </c>
      <c r="I338" t="s">
        <v>20</v>
      </c>
      <c r="J338" t="s">
        <v>34</v>
      </c>
      <c r="K338">
        <v>1</v>
      </c>
      <c r="L338" s="2">
        <v>2187.5100000000002</v>
      </c>
      <c r="M338" s="2">
        <v>2187.5100000000002</v>
      </c>
      <c r="N338" t="s">
        <v>41</v>
      </c>
      <c r="O338" t="s">
        <v>42</v>
      </c>
    </row>
    <row r="339" spans="1:15">
      <c r="A339">
        <v>338</v>
      </c>
      <c r="B339" s="1">
        <v>45916</v>
      </c>
      <c r="C339">
        <v>2025</v>
      </c>
      <c r="D339" t="s">
        <v>69</v>
      </c>
      <c r="E339" t="s">
        <v>83</v>
      </c>
      <c r="F339" t="s">
        <v>17</v>
      </c>
      <c r="G339" t="s">
        <v>80</v>
      </c>
      <c r="H339" t="s">
        <v>73</v>
      </c>
      <c r="I339" t="s">
        <v>57</v>
      </c>
      <c r="J339" t="s">
        <v>98</v>
      </c>
      <c r="K339">
        <v>1</v>
      </c>
      <c r="L339" s="2">
        <v>871.16</v>
      </c>
      <c r="M339" s="2">
        <v>871.16</v>
      </c>
      <c r="N339" t="s">
        <v>41</v>
      </c>
      <c r="O339" t="s">
        <v>23</v>
      </c>
    </row>
    <row r="340" spans="1:15">
      <c r="A340">
        <v>339</v>
      </c>
      <c r="B340" s="1">
        <v>45790</v>
      </c>
      <c r="C340">
        <v>2025</v>
      </c>
      <c r="D340" t="s">
        <v>31</v>
      </c>
      <c r="E340" t="s">
        <v>66</v>
      </c>
      <c r="F340" t="s">
        <v>79</v>
      </c>
      <c r="G340" t="s">
        <v>80</v>
      </c>
      <c r="H340" t="s">
        <v>45</v>
      </c>
      <c r="I340" t="s">
        <v>20</v>
      </c>
      <c r="J340" t="s">
        <v>97</v>
      </c>
      <c r="K340">
        <v>1</v>
      </c>
      <c r="L340" s="2">
        <v>2958.18</v>
      </c>
      <c r="M340" s="2">
        <v>2958.18</v>
      </c>
      <c r="N340" t="s">
        <v>30</v>
      </c>
      <c r="O340" t="s">
        <v>23</v>
      </c>
    </row>
    <row r="341" spans="1:15">
      <c r="A341">
        <v>340</v>
      </c>
      <c r="B341" s="1">
        <v>45795</v>
      </c>
      <c r="C341">
        <v>2025</v>
      </c>
      <c r="D341" t="s">
        <v>31</v>
      </c>
      <c r="E341" t="s">
        <v>16</v>
      </c>
      <c r="F341" t="s">
        <v>17</v>
      </c>
      <c r="G341" t="s">
        <v>18</v>
      </c>
      <c r="H341" t="s">
        <v>62</v>
      </c>
      <c r="I341" t="s">
        <v>57</v>
      </c>
      <c r="J341" t="s">
        <v>98</v>
      </c>
      <c r="K341">
        <v>1</v>
      </c>
      <c r="L341" s="2">
        <v>896.21</v>
      </c>
      <c r="M341" s="2">
        <v>896.21</v>
      </c>
      <c r="N341" t="s">
        <v>30</v>
      </c>
      <c r="O341" t="s">
        <v>23</v>
      </c>
    </row>
    <row r="342" spans="1:15">
      <c r="A342">
        <v>341</v>
      </c>
      <c r="B342" s="1">
        <v>45814</v>
      </c>
      <c r="C342">
        <v>2025</v>
      </c>
      <c r="D342" t="s">
        <v>101</v>
      </c>
      <c r="E342" t="s">
        <v>61</v>
      </c>
      <c r="F342" t="s">
        <v>26</v>
      </c>
      <c r="G342" t="s">
        <v>38</v>
      </c>
      <c r="H342" t="s">
        <v>90</v>
      </c>
      <c r="I342" t="s">
        <v>39</v>
      </c>
      <c r="J342" t="s">
        <v>85</v>
      </c>
      <c r="K342">
        <v>4</v>
      </c>
      <c r="L342" s="2">
        <v>290.77</v>
      </c>
      <c r="M342" s="2">
        <v>1163.08</v>
      </c>
      <c r="N342" t="s">
        <v>22</v>
      </c>
      <c r="O342" t="s">
        <v>23</v>
      </c>
    </row>
    <row r="343" spans="1:15">
      <c r="A343">
        <v>342</v>
      </c>
      <c r="B343" s="1">
        <v>45661</v>
      </c>
      <c r="C343">
        <v>2025</v>
      </c>
      <c r="D343" t="s">
        <v>52</v>
      </c>
      <c r="E343" t="s">
        <v>133</v>
      </c>
      <c r="F343" t="s">
        <v>26</v>
      </c>
      <c r="G343" t="s">
        <v>44</v>
      </c>
      <c r="H343" t="s">
        <v>73</v>
      </c>
      <c r="I343" t="s">
        <v>63</v>
      </c>
      <c r="J343" t="s">
        <v>89</v>
      </c>
      <c r="K343">
        <v>5</v>
      </c>
      <c r="L343" s="2">
        <v>3255.56</v>
      </c>
      <c r="M343" s="2">
        <v>16277.8</v>
      </c>
      <c r="N343" t="s">
        <v>35</v>
      </c>
      <c r="O343" t="s">
        <v>23</v>
      </c>
    </row>
    <row r="344" spans="1:15">
      <c r="A344">
        <v>343</v>
      </c>
      <c r="B344" s="1">
        <v>45799</v>
      </c>
      <c r="C344">
        <v>2025</v>
      </c>
      <c r="D344" t="s">
        <v>31</v>
      </c>
      <c r="E344" t="s">
        <v>111</v>
      </c>
      <c r="F344" t="s">
        <v>17</v>
      </c>
      <c r="G344" t="s">
        <v>80</v>
      </c>
      <c r="H344" t="s">
        <v>60</v>
      </c>
      <c r="I344" t="s">
        <v>39</v>
      </c>
      <c r="J344" t="s">
        <v>40</v>
      </c>
      <c r="K344">
        <v>3</v>
      </c>
      <c r="L344" s="2">
        <v>223.1</v>
      </c>
      <c r="M344" s="2">
        <v>669.3</v>
      </c>
      <c r="N344" t="s">
        <v>30</v>
      </c>
      <c r="O344" t="s">
        <v>42</v>
      </c>
    </row>
    <row r="345" spans="1:15">
      <c r="A345">
        <v>344</v>
      </c>
      <c r="B345" s="1">
        <v>45965</v>
      </c>
      <c r="C345">
        <v>2025</v>
      </c>
      <c r="D345" t="s">
        <v>15</v>
      </c>
      <c r="E345" t="s">
        <v>72</v>
      </c>
      <c r="F345" t="s">
        <v>26</v>
      </c>
      <c r="G345" t="s">
        <v>33</v>
      </c>
      <c r="H345" t="s">
        <v>90</v>
      </c>
      <c r="I345" t="s">
        <v>57</v>
      </c>
      <c r="J345" t="s">
        <v>110</v>
      </c>
      <c r="K345">
        <v>2</v>
      </c>
      <c r="L345" s="2">
        <v>1949.43</v>
      </c>
      <c r="M345" s="2">
        <v>3898.86</v>
      </c>
      <c r="N345" t="s">
        <v>22</v>
      </c>
      <c r="O345" t="s">
        <v>23</v>
      </c>
    </row>
    <row r="346" spans="1:15">
      <c r="A346">
        <v>345</v>
      </c>
      <c r="B346" s="1">
        <v>45676</v>
      </c>
      <c r="C346">
        <v>2025</v>
      </c>
      <c r="D346" t="s">
        <v>52</v>
      </c>
      <c r="E346" t="s">
        <v>43</v>
      </c>
      <c r="F346" t="s">
        <v>17</v>
      </c>
      <c r="G346" t="s">
        <v>38</v>
      </c>
      <c r="H346" t="s">
        <v>54</v>
      </c>
      <c r="I346" t="s">
        <v>63</v>
      </c>
      <c r="J346" t="s">
        <v>95</v>
      </c>
      <c r="K346">
        <v>3</v>
      </c>
      <c r="L346" s="2">
        <v>2053.34</v>
      </c>
      <c r="M346" s="2">
        <v>6160.02</v>
      </c>
      <c r="N346" t="s">
        <v>41</v>
      </c>
      <c r="O346" t="s">
        <v>42</v>
      </c>
    </row>
    <row r="347" spans="1:15">
      <c r="A347">
        <v>346</v>
      </c>
      <c r="B347" s="1">
        <v>45994</v>
      </c>
      <c r="C347">
        <v>2025</v>
      </c>
      <c r="D347" t="s">
        <v>71</v>
      </c>
      <c r="E347" t="s">
        <v>16</v>
      </c>
      <c r="F347" t="s">
        <v>17</v>
      </c>
      <c r="G347" t="s">
        <v>18</v>
      </c>
      <c r="H347" t="s">
        <v>60</v>
      </c>
      <c r="I347" t="s">
        <v>63</v>
      </c>
      <c r="J347" t="s">
        <v>95</v>
      </c>
      <c r="K347">
        <v>3</v>
      </c>
      <c r="L347" s="2">
        <v>1902.47</v>
      </c>
      <c r="M347" s="2">
        <v>5707.41</v>
      </c>
      <c r="N347" t="s">
        <v>41</v>
      </c>
      <c r="O347" t="s">
        <v>23</v>
      </c>
    </row>
    <row r="348" spans="1:15">
      <c r="A348">
        <v>347</v>
      </c>
      <c r="B348" s="1">
        <v>45771</v>
      </c>
      <c r="C348">
        <v>2025</v>
      </c>
      <c r="D348" t="s">
        <v>86</v>
      </c>
      <c r="E348" t="s">
        <v>68</v>
      </c>
      <c r="F348" t="s">
        <v>26</v>
      </c>
      <c r="G348" t="s">
        <v>33</v>
      </c>
      <c r="H348" t="s">
        <v>49</v>
      </c>
      <c r="I348" t="s">
        <v>39</v>
      </c>
      <c r="J348" t="s">
        <v>46</v>
      </c>
      <c r="K348">
        <v>3</v>
      </c>
      <c r="L348" s="2">
        <v>345.67</v>
      </c>
      <c r="M348" s="2">
        <v>1037.01</v>
      </c>
      <c r="N348" t="s">
        <v>41</v>
      </c>
      <c r="O348" t="s">
        <v>23</v>
      </c>
    </row>
    <row r="349" spans="1:15">
      <c r="A349">
        <v>348</v>
      </c>
      <c r="B349" s="1">
        <v>45718</v>
      </c>
      <c r="C349">
        <v>2025</v>
      </c>
      <c r="D349" t="s">
        <v>81</v>
      </c>
      <c r="E349" t="s">
        <v>126</v>
      </c>
      <c r="F349" t="s">
        <v>26</v>
      </c>
      <c r="G349" t="s">
        <v>80</v>
      </c>
      <c r="H349" t="s">
        <v>67</v>
      </c>
      <c r="I349" t="s">
        <v>57</v>
      </c>
      <c r="J349" t="s">
        <v>98</v>
      </c>
      <c r="K349">
        <v>5</v>
      </c>
      <c r="L349" s="2">
        <v>907.66</v>
      </c>
      <c r="M349" s="2">
        <v>4538.3</v>
      </c>
      <c r="N349" t="s">
        <v>35</v>
      </c>
      <c r="O349" t="s">
        <v>42</v>
      </c>
    </row>
    <row r="350" spans="1:15">
      <c r="A350">
        <v>349</v>
      </c>
      <c r="B350" s="1">
        <v>45853</v>
      </c>
      <c r="C350">
        <v>2025</v>
      </c>
      <c r="D350" t="s">
        <v>36</v>
      </c>
      <c r="E350" t="s">
        <v>124</v>
      </c>
      <c r="F350" t="s">
        <v>26</v>
      </c>
      <c r="G350" t="s">
        <v>80</v>
      </c>
      <c r="H350" t="s">
        <v>54</v>
      </c>
      <c r="I350" t="s">
        <v>63</v>
      </c>
      <c r="J350" t="s">
        <v>89</v>
      </c>
      <c r="K350">
        <v>4</v>
      </c>
      <c r="L350" s="2">
        <v>3027.81</v>
      </c>
      <c r="M350" s="2">
        <v>12111.24</v>
      </c>
      <c r="N350" t="s">
        <v>22</v>
      </c>
      <c r="O350" t="s">
        <v>70</v>
      </c>
    </row>
    <row r="351" spans="1:15">
      <c r="A351">
        <v>350</v>
      </c>
      <c r="B351" s="1">
        <v>45892</v>
      </c>
      <c r="C351">
        <v>2025</v>
      </c>
      <c r="D351" t="s">
        <v>47</v>
      </c>
      <c r="E351" t="s">
        <v>83</v>
      </c>
      <c r="F351" t="s">
        <v>26</v>
      </c>
      <c r="G351" t="s">
        <v>80</v>
      </c>
      <c r="H351" t="s">
        <v>54</v>
      </c>
      <c r="I351" t="s">
        <v>28</v>
      </c>
      <c r="J351" t="s">
        <v>74</v>
      </c>
      <c r="K351">
        <v>2</v>
      </c>
      <c r="L351" s="2">
        <v>4649.59</v>
      </c>
      <c r="M351" s="2">
        <v>9299.18</v>
      </c>
      <c r="N351" t="s">
        <v>35</v>
      </c>
      <c r="O351" t="s">
        <v>23</v>
      </c>
    </row>
    <row r="352" spans="1:15">
      <c r="A352">
        <v>351</v>
      </c>
      <c r="B352" s="1">
        <v>45798</v>
      </c>
      <c r="C352">
        <v>2025</v>
      </c>
      <c r="D352" t="s">
        <v>31</v>
      </c>
      <c r="E352" t="s">
        <v>83</v>
      </c>
      <c r="F352" t="s">
        <v>17</v>
      </c>
      <c r="G352" t="s">
        <v>44</v>
      </c>
      <c r="H352" t="s">
        <v>60</v>
      </c>
      <c r="I352" t="s">
        <v>28</v>
      </c>
      <c r="J352" t="s">
        <v>29</v>
      </c>
      <c r="K352">
        <v>5</v>
      </c>
      <c r="L352" s="2">
        <v>5467.18</v>
      </c>
      <c r="M352" s="2">
        <v>27335.9</v>
      </c>
      <c r="N352" t="s">
        <v>22</v>
      </c>
      <c r="O352" t="s">
        <v>23</v>
      </c>
    </row>
    <row r="353" spans="1:15">
      <c r="A353">
        <v>352</v>
      </c>
      <c r="B353" s="1">
        <v>45864</v>
      </c>
      <c r="C353">
        <v>2025</v>
      </c>
      <c r="D353" t="s">
        <v>36</v>
      </c>
      <c r="E353" t="s">
        <v>37</v>
      </c>
      <c r="F353" t="s">
        <v>26</v>
      </c>
      <c r="G353" t="s">
        <v>33</v>
      </c>
      <c r="H353" t="s">
        <v>62</v>
      </c>
      <c r="I353" t="s">
        <v>57</v>
      </c>
      <c r="J353" t="s">
        <v>113</v>
      </c>
      <c r="K353">
        <v>4</v>
      </c>
      <c r="L353" s="2">
        <v>2162.35</v>
      </c>
      <c r="M353" s="2">
        <v>8649.4</v>
      </c>
      <c r="N353" t="s">
        <v>41</v>
      </c>
      <c r="O353" t="s">
        <v>23</v>
      </c>
    </row>
    <row r="354" spans="1:15">
      <c r="A354">
        <v>353</v>
      </c>
      <c r="B354" s="1">
        <v>45929</v>
      </c>
      <c r="C354">
        <v>2025</v>
      </c>
      <c r="D354" t="s">
        <v>69</v>
      </c>
      <c r="E354" t="s">
        <v>107</v>
      </c>
      <c r="F354" t="s">
        <v>26</v>
      </c>
      <c r="G354" t="s">
        <v>33</v>
      </c>
      <c r="H354" t="s">
        <v>90</v>
      </c>
      <c r="I354" t="s">
        <v>28</v>
      </c>
      <c r="J354" t="s">
        <v>55</v>
      </c>
      <c r="K354">
        <v>1</v>
      </c>
      <c r="L354" s="2">
        <v>3552.19</v>
      </c>
      <c r="M354" s="2">
        <v>3552.19</v>
      </c>
      <c r="N354" t="s">
        <v>30</v>
      </c>
      <c r="O354" t="s">
        <v>23</v>
      </c>
    </row>
    <row r="355" spans="1:15">
      <c r="A355">
        <v>354</v>
      </c>
      <c r="B355" s="1">
        <v>45915</v>
      </c>
      <c r="C355">
        <v>2025</v>
      </c>
      <c r="D355" t="s">
        <v>69</v>
      </c>
      <c r="E355" t="s">
        <v>106</v>
      </c>
      <c r="F355" t="s">
        <v>26</v>
      </c>
      <c r="G355" t="s">
        <v>33</v>
      </c>
      <c r="H355" t="s">
        <v>73</v>
      </c>
      <c r="I355" t="s">
        <v>63</v>
      </c>
      <c r="J355" t="s">
        <v>89</v>
      </c>
      <c r="K355">
        <v>2</v>
      </c>
      <c r="L355" s="2">
        <v>3032.12</v>
      </c>
      <c r="M355" s="2">
        <v>6064.24</v>
      </c>
      <c r="N355" t="s">
        <v>41</v>
      </c>
      <c r="O355" t="s">
        <v>23</v>
      </c>
    </row>
    <row r="356" spans="1:15">
      <c r="A356">
        <v>355</v>
      </c>
      <c r="B356" s="1">
        <v>46009</v>
      </c>
      <c r="C356">
        <v>2025</v>
      </c>
      <c r="D356" t="s">
        <v>71</v>
      </c>
      <c r="E356" t="s">
        <v>132</v>
      </c>
      <c r="F356" t="s">
        <v>26</v>
      </c>
      <c r="G356" t="s">
        <v>38</v>
      </c>
      <c r="H356" t="s">
        <v>62</v>
      </c>
      <c r="I356" t="s">
        <v>28</v>
      </c>
      <c r="J356" t="s">
        <v>74</v>
      </c>
      <c r="K356">
        <v>4</v>
      </c>
      <c r="L356" s="2">
        <v>4423.01</v>
      </c>
      <c r="M356" s="2">
        <v>17692.04</v>
      </c>
      <c r="N356" t="s">
        <v>30</v>
      </c>
      <c r="O356" t="s">
        <v>23</v>
      </c>
    </row>
    <row r="357" spans="1:15">
      <c r="A357">
        <v>356</v>
      </c>
      <c r="B357" s="1">
        <v>45725</v>
      </c>
      <c r="C357">
        <v>2025</v>
      </c>
      <c r="D357" t="s">
        <v>81</v>
      </c>
      <c r="E357" t="s">
        <v>102</v>
      </c>
      <c r="F357" t="s">
        <v>26</v>
      </c>
      <c r="G357" t="s">
        <v>44</v>
      </c>
      <c r="H357" t="s">
        <v>27</v>
      </c>
      <c r="I357" t="s">
        <v>28</v>
      </c>
      <c r="J357" t="s">
        <v>55</v>
      </c>
      <c r="K357">
        <v>5</v>
      </c>
      <c r="L357" s="2">
        <v>3500.95</v>
      </c>
      <c r="M357" s="2">
        <v>17504.75</v>
      </c>
      <c r="N357" t="s">
        <v>41</v>
      </c>
      <c r="O357" t="s">
        <v>23</v>
      </c>
    </row>
    <row r="358" spans="1:15">
      <c r="A358">
        <v>357</v>
      </c>
      <c r="B358" s="1">
        <v>45977</v>
      </c>
      <c r="C358">
        <v>2025</v>
      </c>
      <c r="D358" t="s">
        <v>15</v>
      </c>
      <c r="E358" t="s">
        <v>131</v>
      </c>
      <c r="F358" t="s">
        <v>26</v>
      </c>
      <c r="G358" t="s">
        <v>44</v>
      </c>
      <c r="H358" t="s">
        <v>27</v>
      </c>
      <c r="I358" t="s">
        <v>20</v>
      </c>
      <c r="J358" t="s">
        <v>21</v>
      </c>
      <c r="K358">
        <v>1</v>
      </c>
      <c r="L358" s="2">
        <v>1526.62</v>
      </c>
      <c r="M358" s="2">
        <v>1526.62</v>
      </c>
      <c r="N358" t="s">
        <v>22</v>
      </c>
      <c r="O358" t="s">
        <v>23</v>
      </c>
    </row>
    <row r="359" spans="1:15">
      <c r="A359">
        <v>358</v>
      </c>
      <c r="B359" s="1">
        <v>45938</v>
      </c>
      <c r="C359">
        <v>2025</v>
      </c>
      <c r="D359" t="s">
        <v>65</v>
      </c>
      <c r="E359" t="s">
        <v>120</v>
      </c>
      <c r="F359" t="s">
        <v>17</v>
      </c>
      <c r="G359" t="s">
        <v>33</v>
      </c>
      <c r="H359" t="s">
        <v>27</v>
      </c>
      <c r="I359" t="s">
        <v>39</v>
      </c>
      <c r="J359" t="s">
        <v>85</v>
      </c>
      <c r="K359">
        <v>2</v>
      </c>
      <c r="L359" s="2">
        <v>269.14</v>
      </c>
      <c r="M359" s="2">
        <v>538.28</v>
      </c>
      <c r="N359" t="s">
        <v>35</v>
      </c>
      <c r="O359" t="s">
        <v>23</v>
      </c>
    </row>
    <row r="360" spans="1:15">
      <c r="A360">
        <v>359</v>
      </c>
      <c r="B360" s="1">
        <v>45796</v>
      </c>
      <c r="C360">
        <v>2025</v>
      </c>
      <c r="D360" t="s">
        <v>31</v>
      </c>
      <c r="E360" t="s">
        <v>114</v>
      </c>
      <c r="F360" t="s">
        <v>26</v>
      </c>
      <c r="G360" t="s">
        <v>18</v>
      </c>
      <c r="H360" t="s">
        <v>19</v>
      </c>
      <c r="I360" t="s">
        <v>63</v>
      </c>
      <c r="J360" t="s">
        <v>95</v>
      </c>
      <c r="K360">
        <v>4</v>
      </c>
      <c r="L360" s="2">
        <v>2078.3200000000002</v>
      </c>
      <c r="M360" s="2">
        <v>8313.2800000000007</v>
      </c>
      <c r="N360" t="s">
        <v>41</v>
      </c>
      <c r="O360" t="s">
        <v>23</v>
      </c>
    </row>
    <row r="361" spans="1:15">
      <c r="A361">
        <v>360</v>
      </c>
      <c r="B361" s="1">
        <v>45712</v>
      </c>
      <c r="C361">
        <v>2025</v>
      </c>
      <c r="D361" t="s">
        <v>24</v>
      </c>
      <c r="E361" t="s">
        <v>100</v>
      </c>
      <c r="F361" t="s">
        <v>17</v>
      </c>
      <c r="G361" t="s">
        <v>80</v>
      </c>
      <c r="H361" t="s">
        <v>54</v>
      </c>
      <c r="I361" t="s">
        <v>57</v>
      </c>
      <c r="J361" t="s">
        <v>58</v>
      </c>
      <c r="K361">
        <v>5</v>
      </c>
      <c r="L361" s="2">
        <v>1252.2</v>
      </c>
      <c r="M361" s="2">
        <v>6261</v>
      </c>
      <c r="N361" t="s">
        <v>22</v>
      </c>
      <c r="O361" t="s">
        <v>23</v>
      </c>
    </row>
    <row r="362" spans="1:15">
      <c r="A362">
        <v>361</v>
      </c>
      <c r="B362" s="1">
        <v>45678</v>
      </c>
      <c r="C362">
        <v>2025</v>
      </c>
      <c r="D362" t="s">
        <v>52</v>
      </c>
      <c r="E362" t="s">
        <v>118</v>
      </c>
      <c r="F362" t="s">
        <v>26</v>
      </c>
      <c r="G362" t="s">
        <v>44</v>
      </c>
      <c r="H362" t="s">
        <v>62</v>
      </c>
      <c r="I362" t="s">
        <v>63</v>
      </c>
      <c r="J362" t="s">
        <v>109</v>
      </c>
      <c r="K362">
        <v>2</v>
      </c>
      <c r="L362" s="2">
        <v>817.04</v>
      </c>
      <c r="M362" s="2">
        <v>1634.08</v>
      </c>
      <c r="N362" t="s">
        <v>35</v>
      </c>
      <c r="O362" t="s">
        <v>42</v>
      </c>
    </row>
    <row r="363" spans="1:15">
      <c r="A363">
        <v>362</v>
      </c>
      <c r="B363" s="1">
        <v>45951</v>
      </c>
      <c r="C363">
        <v>2025</v>
      </c>
      <c r="D363" t="s">
        <v>65</v>
      </c>
      <c r="E363" t="s">
        <v>53</v>
      </c>
      <c r="F363" t="s">
        <v>17</v>
      </c>
      <c r="G363" t="s">
        <v>44</v>
      </c>
      <c r="H363" t="s">
        <v>90</v>
      </c>
      <c r="I363" t="s">
        <v>57</v>
      </c>
      <c r="J363" t="s">
        <v>58</v>
      </c>
      <c r="K363">
        <v>1</v>
      </c>
      <c r="L363" s="2">
        <v>1342.57</v>
      </c>
      <c r="M363" s="2">
        <v>1342.57</v>
      </c>
      <c r="N363" t="s">
        <v>30</v>
      </c>
      <c r="O363" t="s">
        <v>23</v>
      </c>
    </row>
    <row r="364" spans="1:15">
      <c r="A364">
        <v>363</v>
      </c>
      <c r="B364" s="1">
        <v>45809</v>
      </c>
      <c r="C364">
        <v>2025</v>
      </c>
      <c r="D364" t="s">
        <v>101</v>
      </c>
      <c r="E364" t="s">
        <v>135</v>
      </c>
      <c r="F364" t="s">
        <v>79</v>
      </c>
      <c r="G364" t="s">
        <v>33</v>
      </c>
      <c r="H364" t="s">
        <v>54</v>
      </c>
      <c r="I364" t="s">
        <v>39</v>
      </c>
      <c r="J364" t="s">
        <v>85</v>
      </c>
      <c r="K364">
        <v>1</v>
      </c>
      <c r="L364" s="2">
        <v>265.60000000000002</v>
      </c>
      <c r="M364" s="2">
        <v>265.60000000000002</v>
      </c>
      <c r="N364" t="s">
        <v>41</v>
      </c>
      <c r="O364" t="s">
        <v>23</v>
      </c>
    </row>
    <row r="365" spans="1:15">
      <c r="A365">
        <v>364</v>
      </c>
      <c r="B365" s="1">
        <v>45717</v>
      </c>
      <c r="C365">
        <v>2025</v>
      </c>
      <c r="D365" t="s">
        <v>81</v>
      </c>
      <c r="E365" t="s">
        <v>48</v>
      </c>
      <c r="F365" t="s">
        <v>17</v>
      </c>
      <c r="G365" t="s">
        <v>33</v>
      </c>
      <c r="H365" t="s">
        <v>54</v>
      </c>
      <c r="I365" t="s">
        <v>20</v>
      </c>
      <c r="J365" t="s">
        <v>21</v>
      </c>
      <c r="K365">
        <v>1</v>
      </c>
      <c r="L365" s="2">
        <v>1562.32</v>
      </c>
      <c r="M365" s="2">
        <v>1562.32</v>
      </c>
      <c r="N365" t="s">
        <v>22</v>
      </c>
      <c r="O365" t="s">
        <v>70</v>
      </c>
    </row>
    <row r="366" spans="1:15">
      <c r="A366">
        <v>365</v>
      </c>
      <c r="B366" s="1">
        <v>45795</v>
      </c>
      <c r="C366">
        <v>2025</v>
      </c>
      <c r="D366" t="s">
        <v>31</v>
      </c>
      <c r="E366" t="s">
        <v>134</v>
      </c>
      <c r="F366" t="s">
        <v>26</v>
      </c>
      <c r="G366" t="s">
        <v>38</v>
      </c>
      <c r="H366" t="s">
        <v>90</v>
      </c>
      <c r="I366" t="s">
        <v>20</v>
      </c>
      <c r="J366" t="s">
        <v>97</v>
      </c>
      <c r="K366">
        <v>3</v>
      </c>
      <c r="L366" s="2">
        <v>2884.87</v>
      </c>
      <c r="M366" s="2">
        <v>8654.61</v>
      </c>
      <c r="N366" t="s">
        <v>22</v>
      </c>
      <c r="O366" t="s">
        <v>23</v>
      </c>
    </row>
    <row r="367" spans="1:15">
      <c r="A367">
        <v>366</v>
      </c>
      <c r="B367" s="1">
        <v>45902</v>
      </c>
      <c r="C367">
        <v>2025</v>
      </c>
      <c r="D367" t="s">
        <v>69</v>
      </c>
      <c r="E367" t="s">
        <v>84</v>
      </c>
      <c r="F367" t="s">
        <v>26</v>
      </c>
      <c r="G367" t="s">
        <v>80</v>
      </c>
      <c r="H367" t="s">
        <v>19</v>
      </c>
      <c r="I367" t="s">
        <v>57</v>
      </c>
      <c r="J367" t="s">
        <v>58</v>
      </c>
      <c r="K367">
        <v>1</v>
      </c>
      <c r="L367" s="2">
        <v>1241.72</v>
      </c>
      <c r="M367" s="2">
        <v>1241.72</v>
      </c>
      <c r="N367" t="s">
        <v>22</v>
      </c>
      <c r="O367" t="s">
        <v>42</v>
      </c>
    </row>
    <row r="368" spans="1:15">
      <c r="A368">
        <v>367</v>
      </c>
      <c r="B368" s="1">
        <v>45905</v>
      </c>
      <c r="C368">
        <v>2025</v>
      </c>
      <c r="D368" t="s">
        <v>69</v>
      </c>
      <c r="E368" t="s">
        <v>130</v>
      </c>
      <c r="F368" t="s">
        <v>26</v>
      </c>
      <c r="G368" t="s">
        <v>44</v>
      </c>
      <c r="H368" t="s">
        <v>60</v>
      </c>
      <c r="I368" t="s">
        <v>63</v>
      </c>
      <c r="J368" t="s">
        <v>109</v>
      </c>
      <c r="K368">
        <v>2</v>
      </c>
      <c r="L368" s="2">
        <v>809.67</v>
      </c>
      <c r="M368" s="2">
        <v>1619.34</v>
      </c>
      <c r="N368" t="s">
        <v>22</v>
      </c>
      <c r="O368" t="s">
        <v>70</v>
      </c>
    </row>
    <row r="369" spans="1:15">
      <c r="A369">
        <v>368</v>
      </c>
      <c r="B369" s="1">
        <v>45715</v>
      </c>
      <c r="C369">
        <v>2025</v>
      </c>
      <c r="D369" t="s">
        <v>24</v>
      </c>
      <c r="E369" t="s">
        <v>72</v>
      </c>
      <c r="F369" t="s">
        <v>26</v>
      </c>
      <c r="G369" t="s">
        <v>18</v>
      </c>
      <c r="H369" t="s">
        <v>49</v>
      </c>
      <c r="I369" t="s">
        <v>57</v>
      </c>
      <c r="J369" t="s">
        <v>113</v>
      </c>
      <c r="K369">
        <v>1</v>
      </c>
      <c r="L369" s="2">
        <v>2178.5300000000002</v>
      </c>
      <c r="M369" s="2">
        <v>2178.5300000000002</v>
      </c>
      <c r="N369" t="s">
        <v>30</v>
      </c>
      <c r="O369" t="s">
        <v>70</v>
      </c>
    </row>
    <row r="370" spans="1:15">
      <c r="A370">
        <v>369</v>
      </c>
      <c r="B370" s="1">
        <v>46000</v>
      </c>
      <c r="C370">
        <v>2025</v>
      </c>
      <c r="D370" t="s">
        <v>71</v>
      </c>
      <c r="E370" t="s">
        <v>107</v>
      </c>
      <c r="F370" t="s">
        <v>26</v>
      </c>
      <c r="G370" t="s">
        <v>38</v>
      </c>
      <c r="H370" t="s">
        <v>60</v>
      </c>
      <c r="I370" t="s">
        <v>39</v>
      </c>
      <c r="J370" t="s">
        <v>76</v>
      </c>
      <c r="K370">
        <v>4</v>
      </c>
      <c r="L370" s="2">
        <v>131.5</v>
      </c>
      <c r="M370" s="2">
        <v>526</v>
      </c>
      <c r="N370" t="s">
        <v>35</v>
      </c>
      <c r="O370" t="s">
        <v>23</v>
      </c>
    </row>
    <row r="371" spans="1:15">
      <c r="A371">
        <v>370</v>
      </c>
      <c r="B371" s="1">
        <v>45738</v>
      </c>
      <c r="C371">
        <v>2025</v>
      </c>
      <c r="D371" t="s">
        <v>81</v>
      </c>
      <c r="E371" t="s">
        <v>53</v>
      </c>
      <c r="F371" t="s">
        <v>17</v>
      </c>
      <c r="G371" t="s">
        <v>33</v>
      </c>
      <c r="H371" t="s">
        <v>45</v>
      </c>
      <c r="I371" t="s">
        <v>63</v>
      </c>
      <c r="J371" t="s">
        <v>109</v>
      </c>
      <c r="K371">
        <v>4</v>
      </c>
      <c r="L371" s="2">
        <v>834.42</v>
      </c>
      <c r="M371" s="2">
        <v>3337.68</v>
      </c>
      <c r="N371" t="s">
        <v>41</v>
      </c>
      <c r="O371" t="s">
        <v>70</v>
      </c>
    </row>
    <row r="372" spans="1:15">
      <c r="A372">
        <v>371</v>
      </c>
      <c r="B372" s="1">
        <v>45683</v>
      </c>
      <c r="C372">
        <v>2025</v>
      </c>
      <c r="D372" t="s">
        <v>52</v>
      </c>
      <c r="E372" t="s">
        <v>134</v>
      </c>
      <c r="F372" t="s">
        <v>17</v>
      </c>
      <c r="G372" t="s">
        <v>44</v>
      </c>
      <c r="H372" t="s">
        <v>73</v>
      </c>
      <c r="I372" t="s">
        <v>63</v>
      </c>
      <c r="J372" t="s">
        <v>95</v>
      </c>
      <c r="K372">
        <v>5</v>
      </c>
      <c r="L372" s="2">
        <v>2033.38</v>
      </c>
      <c r="M372" s="2">
        <v>10166.9</v>
      </c>
      <c r="N372" t="s">
        <v>22</v>
      </c>
      <c r="O372" t="s">
        <v>23</v>
      </c>
    </row>
    <row r="373" spans="1:15">
      <c r="A373">
        <v>372</v>
      </c>
      <c r="B373" s="1">
        <v>45887</v>
      </c>
      <c r="C373">
        <v>2025</v>
      </c>
      <c r="D373" t="s">
        <v>47</v>
      </c>
      <c r="E373" t="s">
        <v>83</v>
      </c>
      <c r="F373" t="s">
        <v>17</v>
      </c>
      <c r="G373" t="s">
        <v>44</v>
      </c>
      <c r="H373" t="s">
        <v>19</v>
      </c>
      <c r="I373" t="s">
        <v>20</v>
      </c>
      <c r="J373" t="s">
        <v>93</v>
      </c>
      <c r="K373">
        <v>4</v>
      </c>
      <c r="L373" s="2">
        <v>976.95</v>
      </c>
      <c r="M373" s="2">
        <v>3907.8</v>
      </c>
      <c r="N373" t="s">
        <v>22</v>
      </c>
      <c r="O373" t="s">
        <v>23</v>
      </c>
    </row>
    <row r="374" spans="1:15">
      <c r="A374">
        <v>373</v>
      </c>
      <c r="B374" s="1">
        <v>45943</v>
      </c>
      <c r="C374">
        <v>2025</v>
      </c>
      <c r="D374" t="s">
        <v>65</v>
      </c>
      <c r="E374" t="s">
        <v>126</v>
      </c>
      <c r="F374" t="s">
        <v>17</v>
      </c>
      <c r="G374" t="s">
        <v>18</v>
      </c>
      <c r="H374" t="s">
        <v>67</v>
      </c>
      <c r="I374" t="s">
        <v>63</v>
      </c>
      <c r="J374" t="s">
        <v>64</v>
      </c>
      <c r="K374">
        <v>1</v>
      </c>
      <c r="L374" s="2">
        <v>1240.98</v>
      </c>
      <c r="M374" s="2">
        <v>1240.98</v>
      </c>
      <c r="N374" t="s">
        <v>30</v>
      </c>
      <c r="O374" t="s">
        <v>23</v>
      </c>
    </row>
    <row r="375" spans="1:15">
      <c r="A375">
        <v>374</v>
      </c>
      <c r="B375" s="1">
        <v>45891</v>
      </c>
      <c r="C375">
        <v>2025</v>
      </c>
      <c r="D375" t="s">
        <v>47</v>
      </c>
      <c r="E375" t="s">
        <v>124</v>
      </c>
      <c r="F375" t="s">
        <v>26</v>
      </c>
      <c r="G375" t="s">
        <v>18</v>
      </c>
      <c r="H375" t="s">
        <v>49</v>
      </c>
      <c r="I375" t="s">
        <v>39</v>
      </c>
      <c r="J375" t="s">
        <v>40</v>
      </c>
      <c r="K375">
        <v>1</v>
      </c>
      <c r="L375" s="2">
        <v>227.32</v>
      </c>
      <c r="M375" s="2">
        <v>227.32</v>
      </c>
      <c r="N375" t="s">
        <v>22</v>
      </c>
      <c r="O375" t="s">
        <v>23</v>
      </c>
    </row>
    <row r="376" spans="1:15">
      <c r="A376">
        <v>375</v>
      </c>
      <c r="B376" s="1">
        <v>45844</v>
      </c>
      <c r="C376">
        <v>2025</v>
      </c>
      <c r="D376" t="s">
        <v>36</v>
      </c>
      <c r="E376" t="s">
        <v>43</v>
      </c>
      <c r="F376" t="s">
        <v>26</v>
      </c>
      <c r="G376" t="s">
        <v>33</v>
      </c>
      <c r="H376" t="s">
        <v>90</v>
      </c>
      <c r="I376" t="s">
        <v>57</v>
      </c>
      <c r="J376" t="s">
        <v>98</v>
      </c>
      <c r="K376">
        <v>1</v>
      </c>
      <c r="L376" s="2">
        <v>926.98</v>
      </c>
      <c r="M376" s="2">
        <v>926.98</v>
      </c>
      <c r="N376" t="s">
        <v>41</v>
      </c>
      <c r="O376" t="s">
        <v>23</v>
      </c>
    </row>
    <row r="377" spans="1:15">
      <c r="A377">
        <v>376</v>
      </c>
      <c r="B377" s="1">
        <v>45681</v>
      </c>
      <c r="C377">
        <v>2025</v>
      </c>
      <c r="D377" t="s">
        <v>52</v>
      </c>
      <c r="E377" t="s">
        <v>56</v>
      </c>
      <c r="F377" t="s">
        <v>17</v>
      </c>
      <c r="G377" t="s">
        <v>44</v>
      </c>
      <c r="H377" t="s">
        <v>90</v>
      </c>
      <c r="I377" t="s">
        <v>28</v>
      </c>
      <c r="J377" t="s">
        <v>51</v>
      </c>
      <c r="K377">
        <v>2</v>
      </c>
      <c r="L377" s="2">
        <v>7269.31</v>
      </c>
      <c r="M377" s="2">
        <v>14538.62</v>
      </c>
      <c r="N377" t="s">
        <v>30</v>
      </c>
      <c r="O377" t="s">
        <v>23</v>
      </c>
    </row>
    <row r="378" spans="1:15">
      <c r="A378">
        <v>377</v>
      </c>
      <c r="B378" s="1">
        <v>45859</v>
      </c>
      <c r="C378">
        <v>2025</v>
      </c>
      <c r="D378" t="s">
        <v>36</v>
      </c>
      <c r="E378" t="s">
        <v>114</v>
      </c>
      <c r="F378" t="s">
        <v>17</v>
      </c>
      <c r="G378" t="s">
        <v>44</v>
      </c>
      <c r="H378" t="s">
        <v>49</v>
      </c>
      <c r="I378" t="s">
        <v>28</v>
      </c>
      <c r="J378" t="s">
        <v>51</v>
      </c>
      <c r="K378">
        <v>2</v>
      </c>
      <c r="L378" s="2">
        <v>7181.08</v>
      </c>
      <c r="M378" s="2">
        <v>14362.16</v>
      </c>
      <c r="N378" t="s">
        <v>35</v>
      </c>
      <c r="O378" t="s">
        <v>23</v>
      </c>
    </row>
    <row r="379" spans="1:15">
      <c r="A379">
        <v>378</v>
      </c>
      <c r="B379" s="1">
        <v>45888</v>
      </c>
      <c r="C379">
        <v>2025</v>
      </c>
      <c r="D379" t="s">
        <v>47</v>
      </c>
      <c r="E379" t="s">
        <v>56</v>
      </c>
      <c r="F379" t="s">
        <v>26</v>
      </c>
      <c r="G379" t="s">
        <v>38</v>
      </c>
      <c r="H379" t="s">
        <v>49</v>
      </c>
      <c r="I379" t="s">
        <v>57</v>
      </c>
      <c r="J379" t="s">
        <v>58</v>
      </c>
      <c r="K379">
        <v>4</v>
      </c>
      <c r="L379" s="2">
        <v>1221.74</v>
      </c>
      <c r="M379" s="2">
        <v>4886.96</v>
      </c>
      <c r="N379" t="s">
        <v>22</v>
      </c>
      <c r="O379" t="s">
        <v>70</v>
      </c>
    </row>
    <row r="380" spans="1:15">
      <c r="A380">
        <v>379</v>
      </c>
      <c r="B380" s="1">
        <v>45748</v>
      </c>
      <c r="C380">
        <v>2025</v>
      </c>
      <c r="D380" t="s">
        <v>86</v>
      </c>
      <c r="E380" t="s">
        <v>48</v>
      </c>
      <c r="F380" t="s">
        <v>17</v>
      </c>
      <c r="G380" t="s">
        <v>33</v>
      </c>
      <c r="H380" t="s">
        <v>67</v>
      </c>
      <c r="I380" t="s">
        <v>63</v>
      </c>
      <c r="J380" t="s">
        <v>95</v>
      </c>
      <c r="K380">
        <v>2</v>
      </c>
      <c r="L380" s="2">
        <v>1903.9</v>
      </c>
      <c r="M380" s="2">
        <v>3807.8</v>
      </c>
      <c r="N380" t="s">
        <v>22</v>
      </c>
      <c r="O380" t="s">
        <v>23</v>
      </c>
    </row>
    <row r="381" spans="1:15">
      <c r="A381">
        <v>380</v>
      </c>
      <c r="B381" s="1">
        <v>45969</v>
      </c>
      <c r="C381">
        <v>2025</v>
      </c>
      <c r="D381" t="s">
        <v>15</v>
      </c>
      <c r="E381" t="s">
        <v>105</v>
      </c>
      <c r="F381" t="s">
        <v>26</v>
      </c>
      <c r="G381" t="s">
        <v>80</v>
      </c>
      <c r="H381" t="s">
        <v>60</v>
      </c>
      <c r="I381" t="s">
        <v>28</v>
      </c>
      <c r="J381" t="s">
        <v>74</v>
      </c>
      <c r="K381">
        <v>4</v>
      </c>
      <c r="L381" s="2">
        <v>4749.28</v>
      </c>
      <c r="M381" s="2">
        <v>18997.12</v>
      </c>
      <c r="N381" t="s">
        <v>22</v>
      </c>
      <c r="O381" t="s">
        <v>23</v>
      </c>
    </row>
    <row r="382" spans="1:15">
      <c r="A382">
        <v>381</v>
      </c>
      <c r="B382" s="1">
        <v>45920</v>
      </c>
      <c r="C382">
        <v>2025</v>
      </c>
      <c r="D382" t="s">
        <v>69</v>
      </c>
      <c r="E382" t="s">
        <v>132</v>
      </c>
      <c r="F382" t="s">
        <v>26</v>
      </c>
      <c r="G382" t="s">
        <v>33</v>
      </c>
      <c r="H382" t="s">
        <v>54</v>
      </c>
      <c r="I382" t="s">
        <v>39</v>
      </c>
      <c r="J382" t="s">
        <v>40</v>
      </c>
      <c r="K382">
        <v>5</v>
      </c>
      <c r="L382" s="2">
        <v>222.48</v>
      </c>
      <c r="M382" s="2">
        <v>1112.4000000000001</v>
      </c>
      <c r="N382" t="s">
        <v>30</v>
      </c>
      <c r="O382" t="s">
        <v>70</v>
      </c>
    </row>
    <row r="383" spans="1:15">
      <c r="A383">
        <v>382</v>
      </c>
      <c r="B383" s="1">
        <v>45990</v>
      </c>
      <c r="C383">
        <v>2025</v>
      </c>
      <c r="D383" t="s">
        <v>15</v>
      </c>
      <c r="E383" t="s">
        <v>25</v>
      </c>
      <c r="F383" t="s">
        <v>26</v>
      </c>
      <c r="G383" t="s">
        <v>18</v>
      </c>
      <c r="H383" t="s">
        <v>27</v>
      </c>
      <c r="I383" t="s">
        <v>28</v>
      </c>
      <c r="J383" t="s">
        <v>74</v>
      </c>
      <c r="K383">
        <v>1</v>
      </c>
      <c r="L383" s="2">
        <v>4639.79</v>
      </c>
      <c r="M383" s="2">
        <v>4639.79</v>
      </c>
      <c r="N383" t="s">
        <v>41</v>
      </c>
      <c r="O383" t="s">
        <v>42</v>
      </c>
    </row>
    <row r="384" spans="1:15">
      <c r="A384">
        <v>383</v>
      </c>
      <c r="B384" s="1">
        <v>45874</v>
      </c>
      <c r="C384">
        <v>2025</v>
      </c>
      <c r="D384" t="s">
        <v>47</v>
      </c>
      <c r="E384" t="s">
        <v>117</v>
      </c>
      <c r="F384" t="s">
        <v>17</v>
      </c>
      <c r="G384" t="s">
        <v>80</v>
      </c>
      <c r="H384" t="s">
        <v>90</v>
      </c>
      <c r="I384" t="s">
        <v>20</v>
      </c>
      <c r="J384" t="s">
        <v>21</v>
      </c>
      <c r="K384">
        <v>1</v>
      </c>
      <c r="L384" s="2">
        <v>1477.57</v>
      </c>
      <c r="M384" s="2">
        <v>1477.57</v>
      </c>
      <c r="N384" t="s">
        <v>30</v>
      </c>
      <c r="O384" t="s">
        <v>70</v>
      </c>
    </row>
    <row r="385" spans="1:15">
      <c r="A385">
        <v>384</v>
      </c>
      <c r="B385" s="1">
        <v>46007</v>
      </c>
      <c r="C385">
        <v>2025</v>
      </c>
      <c r="D385" t="s">
        <v>71</v>
      </c>
      <c r="E385" t="s">
        <v>105</v>
      </c>
      <c r="F385" t="s">
        <v>26</v>
      </c>
      <c r="G385" t="s">
        <v>18</v>
      </c>
      <c r="H385" t="s">
        <v>62</v>
      </c>
      <c r="I385" t="s">
        <v>39</v>
      </c>
      <c r="J385" t="s">
        <v>46</v>
      </c>
      <c r="K385">
        <v>1</v>
      </c>
      <c r="L385" s="2">
        <v>356.98</v>
      </c>
      <c r="M385" s="2">
        <v>356.98</v>
      </c>
      <c r="N385" t="s">
        <v>41</v>
      </c>
      <c r="O385" t="s">
        <v>23</v>
      </c>
    </row>
    <row r="386" spans="1:15">
      <c r="A386">
        <v>385</v>
      </c>
      <c r="B386" s="1">
        <v>45710</v>
      </c>
      <c r="C386">
        <v>2025</v>
      </c>
      <c r="D386" t="s">
        <v>24</v>
      </c>
      <c r="E386" t="s">
        <v>136</v>
      </c>
      <c r="F386" t="s">
        <v>17</v>
      </c>
      <c r="G386" t="s">
        <v>33</v>
      </c>
      <c r="H386" t="s">
        <v>62</v>
      </c>
      <c r="I386" t="s">
        <v>63</v>
      </c>
      <c r="J386" t="s">
        <v>95</v>
      </c>
      <c r="K386">
        <v>5</v>
      </c>
      <c r="L386" s="2">
        <v>1972.35</v>
      </c>
      <c r="M386" s="2">
        <v>9861.75</v>
      </c>
      <c r="N386" t="s">
        <v>22</v>
      </c>
      <c r="O386" t="s">
        <v>23</v>
      </c>
    </row>
    <row r="387" spans="1:15">
      <c r="A387">
        <v>386</v>
      </c>
      <c r="B387" s="1">
        <v>46008</v>
      </c>
      <c r="C387">
        <v>2025</v>
      </c>
      <c r="D387" t="s">
        <v>71</v>
      </c>
      <c r="E387" t="s">
        <v>132</v>
      </c>
      <c r="F387" t="s">
        <v>17</v>
      </c>
      <c r="G387" t="s">
        <v>38</v>
      </c>
      <c r="H387" t="s">
        <v>45</v>
      </c>
      <c r="I387" t="s">
        <v>39</v>
      </c>
      <c r="J387" t="s">
        <v>76</v>
      </c>
      <c r="K387">
        <v>1</v>
      </c>
      <c r="L387" s="2">
        <v>132.77000000000001</v>
      </c>
      <c r="M387" s="2">
        <v>132.77000000000001</v>
      </c>
      <c r="N387" t="s">
        <v>41</v>
      </c>
      <c r="O387" t="s">
        <v>23</v>
      </c>
    </row>
    <row r="388" spans="1:15">
      <c r="A388">
        <v>387</v>
      </c>
      <c r="B388" s="1">
        <v>45937</v>
      </c>
      <c r="C388">
        <v>2025</v>
      </c>
      <c r="D388" t="s">
        <v>65</v>
      </c>
      <c r="E388" t="s">
        <v>135</v>
      </c>
      <c r="F388" t="s">
        <v>79</v>
      </c>
      <c r="G388" t="s">
        <v>44</v>
      </c>
      <c r="H388" t="s">
        <v>60</v>
      </c>
      <c r="I388" t="s">
        <v>63</v>
      </c>
      <c r="J388" t="s">
        <v>95</v>
      </c>
      <c r="K388">
        <v>2</v>
      </c>
      <c r="L388" s="2">
        <v>1949.63</v>
      </c>
      <c r="M388" s="2">
        <v>3899.26</v>
      </c>
      <c r="N388" t="s">
        <v>30</v>
      </c>
      <c r="O388" t="s">
        <v>23</v>
      </c>
    </row>
    <row r="389" spans="1:15">
      <c r="A389">
        <v>388</v>
      </c>
      <c r="B389" s="1">
        <v>45719</v>
      </c>
      <c r="C389">
        <v>2025</v>
      </c>
      <c r="D389" t="s">
        <v>81</v>
      </c>
      <c r="E389" t="s">
        <v>100</v>
      </c>
      <c r="F389" t="s">
        <v>26</v>
      </c>
      <c r="G389" t="s">
        <v>18</v>
      </c>
      <c r="H389" t="s">
        <v>90</v>
      </c>
      <c r="I389" t="s">
        <v>57</v>
      </c>
      <c r="J389" t="s">
        <v>98</v>
      </c>
      <c r="K389">
        <v>4</v>
      </c>
      <c r="L389" s="2">
        <v>875.17</v>
      </c>
      <c r="M389" s="2">
        <v>3500.68</v>
      </c>
      <c r="N389" t="s">
        <v>35</v>
      </c>
      <c r="O389" t="s">
        <v>23</v>
      </c>
    </row>
    <row r="390" spans="1:15">
      <c r="A390">
        <v>389</v>
      </c>
      <c r="B390" s="1">
        <v>46021</v>
      </c>
      <c r="C390">
        <v>2025</v>
      </c>
      <c r="D390" t="s">
        <v>71</v>
      </c>
      <c r="E390" t="s">
        <v>133</v>
      </c>
      <c r="F390" t="s">
        <v>26</v>
      </c>
      <c r="G390" t="s">
        <v>18</v>
      </c>
      <c r="H390" t="s">
        <v>90</v>
      </c>
      <c r="I390" t="s">
        <v>28</v>
      </c>
      <c r="J390" t="s">
        <v>55</v>
      </c>
      <c r="K390">
        <v>2</v>
      </c>
      <c r="L390" s="2">
        <v>3678.97</v>
      </c>
      <c r="M390" s="2">
        <v>7357.94</v>
      </c>
      <c r="N390" t="s">
        <v>22</v>
      </c>
      <c r="O390" t="s">
        <v>23</v>
      </c>
    </row>
    <row r="391" spans="1:15">
      <c r="A391">
        <v>390</v>
      </c>
      <c r="B391" s="1">
        <v>45939</v>
      </c>
      <c r="C391">
        <v>2025</v>
      </c>
      <c r="D391" t="s">
        <v>65</v>
      </c>
      <c r="E391" t="s">
        <v>135</v>
      </c>
      <c r="F391" t="s">
        <v>26</v>
      </c>
      <c r="G391" t="s">
        <v>18</v>
      </c>
      <c r="H391" t="s">
        <v>60</v>
      </c>
      <c r="I391" t="s">
        <v>39</v>
      </c>
      <c r="J391" t="s">
        <v>76</v>
      </c>
      <c r="K391">
        <v>3</v>
      </c>
      <c r="L391" s="2">
        <v>129.38999999999999</v>
      </c>
      <c r="M391" s="2">
        <v>388.17</v>
      </c>
      <c r="N391" t="s">
        <v>22</v>
      </c>
      <c r="O391" t="s">
        <v>23</v>
      </c>
    </row>
    <row r="392" spans="1:15">
      <c r="A392">
        <v>391</v>
      </c>
      <c r="B392" s="1">
        <v>45864</v>
      </c>
      <c r="C392">
        <v>2025</v>
      </c>
      <c r="D392" t="s">
        <v>36</v>
      </c>
      <c r="E392" t="s">
        <v>48</v>
      </c>
      <c r="F392" t="s">
        <v>26</v>
      </c>
      <c r="G392" t="s">
        <v>33</v>
      </c>
      <c r="H392" t="s">
        <v>90</v>
      </c>
      <c r="I392" t="s">
        <v>20</v>
      </c>
      <c r="J392" t="s">
        <v>97</v>
      </c>
      <c r="K392">
        <v>2</v>
      </c>
      <c r="L392" s="2">
        <v>3136.98</v>
      </c>
      <c r="M392" s="2">
        <v>6273.96</v>
      </c>
      <c r="N392" t="s">
        <v>30</v>
      </c>
      <c r="O392" t="s">
        <v>70</v>
      </c>
    </row>
    <row r="393" spans="1:15">
      <c r="A393">
        <v>392</v>
      </c>
      <c r="B393" s="1">
        <v>45974</v>
      </c>
      <c r="C393">
        <v>2025</v>
      </c>
      <c r="D393" t="s">
        <v>15</v>
      </c>
      <c r="E393" t="s">
        <v>72</v>
      </c>
      <c r="F393" t="s">
        <v>26</v>
      </c>
      <c r="G393" t="s">
        <v>33</v>
      </c>
      <c r="H393" t="s">
        <v>73</v>
      </c>
      <c r="I393" t="s">
        <v>63</v>
      </c>
      <c r="J393" t="s">
        <v>109</v>
      </c>
      <c r="K393">
        <v>5</v>
      </c>
      <c r="L393" s="2">
        <v>830.04</v>
      </c>
      <c r="M393" s="2">
        <v>4150.2</v>
      </c>
      <c r="N393" t="s">
        <v>30</v>
      </c>
      <c r="O393" t="s">
        <v>42</v>
      </c>
    </row>
    <row r="394" spans="1:15">
      <c r="A394">
        <v>393</v>
      </c>
      <c r="B394" s="1">
        <v>45972</v>
      </c>
      <c r="C394">
        <v>2025</v>
      </c>
      <c r="D394" t="s">
        <v>15</v>
      </c>
      <c r="E394" t="s">
        <v>116</v>
      </c>
      <c r="F394" t="s">
        <v>26</v>
      </c>
      <c r="G394" t="s">
        <v>44</v>
      </c>
      <c r="H394" t="s">
        <v>27</v>
      </c>
      <c r="I394" t="s">
        <v>63</v>
      </c>
      <c r="J394" t="s">
        <v>95</v>
      </c>
      <c r="K394">
        <v>1</v>
      </c>
      <c r="L394" s="2">
        <v>2042.79</v>
      </c>
      <c r="M394" s="2">
        <v>2042.79</v>
      </c>
      <c r="N394" t="s">
        <v>41</v>
      </c>
      <c r="O394" t="s">
        <v>23</v>
      </c>
    </row>
    <row r="395" spans="1:15">
      <c r="A395">
        <v>394</v>
      </c>
      <c r="B395" s="1">
        <v>45802</v>
      </c>
      <c r="C395">
        <v>2025</v>
      </c>
      <c r="D395" t="s">
        <v>31</v>
      </c>
      <c r="E395" t="s">
        <v>129</v>
      </c>
      <c r="F395" t="s">
        <v>26</v>
      </c>
      <c r="G395" t="s">
        <v>33</v>
      </c>
      <c r="H395" t="s">
        <v>45</v>
      </c>
      <c r="I395" t="s">
        <v>20</v>
      </c>
      <c r="J395" t="s">
        <v>97</v>
      </c>
      <c r="K395">
        <v>5</v>
      </c>
      <c r="L395" s="2">
        <v>3107.98</v>
      </c>
      <c r="M395" s="2">
        <v>15539.9</v>
      </c>
      <c r="N395" t="s">
        <v>41</v>
      </c>
      <c r="O395" t="s">
        <v>23</v>
      </c>
    </row>
    <row r="396" spans="1:15">
      <c r="A396">
        <v>395</v>
      </c>
      <c r="B396" s="1">
        <v>45707</v>
      </c>
      <c r="C396">
        <v>2025</v>
      </c>
      <c r="D396" t="s">
        <v>24</v>
      </c>
      <c r="E396" t="s">
        <v>119</v>
      </c>
      <c r="F396" t="s">
        <v>17</v>
      </c>
      <c r="G396" t="s">
        <v>38</v>
      </c>
      <c r="H396" t="s">
        <v>19</v>
      </c>
      <c r="I396" t="s">
        <v>28</v>
      </c>
      <c r="J396" t="s">
        <v>55</v>
      </c>
      <c r="K396">
        <v>1</v>
      </c>
      <c r="L396" s="2">
        <v>3377.56</v>
      </c>
      <c r="M396" s="2">
        <v>3377.56</v>
      </c>
      <c r="N396" t="s">
        <v>30</v>
      </c>
      <c r="O396" t="s">
        <v>23</v>
      </c>
    </row>
    <row r="397" spans="1:15">
      <c r="A397">
        <v>396</v>
      </c>
      <c r="B397" s="1">
        <v>46017</v>
      </c>
      <c r="C397">
        <v>2025</v>
      </c>
      <c r="D397" t="s">
        <v>71</v>
      </c>
      <c r="E397" t="s">
        <v>91</v>
      </c>
      <c r="F397" t="s">
        <v>26</v>
      </c>
      <c r="G397" t="s">
        <v>44</v>
      </c>
      <c r="H397" t="s">
        <v>19</v>
      </c>
      <c r="I397" t="s">
        <v>57</v>
      </c>
      <c r="J397" t="s">
        <v>98</v>
      </c>
      <c r="K397">
        <v>2</v>
      </c>
      <c r="L397" s="2">
        <v>847.62</v>
      </c>
      <c r="M397" s="2">
        <v>1695.24</v>
      </c>
      <c r="N397" t="s">
        <v>35</v>
      </c>
      <c r="O397" t="s">
        <v>23</v>
      </c>
    </row>
    <row r="398" spans="1:15">
      <c r="A398">
        <v>397</v>
      </c>
      <c r="B398" s="1">
        <v>45786</v>
      </c>
      <c r="C398">
        <v>2025</v>
      </c>
      <c r="D398" t="s">
        <v>31</v>
      </c>
      <c r="E398" t="s">
        <v>108</v>
      </c>
      <c r="F398" t="s">
        <v>26</v>
      </c>
      <c r="G398" t="s">
        <v>38</v>
      </c>
      <c r="H398" t="s">
        <v>73</v>
      </c>
      <c r="I398" t="s">
        <v>63</v>
      </c>
      <c r="J398" t="s">
        <v>64</v>
      </c>
      <c r="K398">
        <v>5</v>
      </c>
      <c r="L398" s="2">
        <v>1245.27</v>
      </c>
      <c r="M398" s="2">
        <v>6226.35</v>
      </c>
      <c r="N398" t="s">
        <v>22</v>
      </c>
      <c r="O398" t="s">
        <v>23</v>
      </c>
    </row>
    <row r="399" spans="1:15">
      <c r="A399">
        <v>398</v>
      </c>
      <c r="B399" s="1">
        <v>45666</v>
      </c>
      <c r="C399">
        <v>2025</v>
      </c>
      <c r="D399" t="s">
        <v>52</v>
      </c>
      <c r="E399" t="s">
        <v>84</v>
      </c>
      <c r="F399" t="s">
        <v>17</v>
      </c>
      <c r="G399" t="s">
        <v>18</v>
      </c>
      <c r="H399" t="s">
        <v>62</v>
      </c>
      <c r="I399" t="s">
        <v>57</v>
      </c>
      <c r="J399" t="s">
        <v>98</v>
      </c>
      <c r="K399">
        <v>5</v>
      </c>
      <c r="L399" s="2">
        <v>845.7</v>
      </c>
      <c r="M399" s="2">
        <v>4228.5</v>
      </c>
      <c r="N399" t="s">
        <v>35</v>
      </c>
      <c r="O399" t="s">
        <v>23</v>
      </c>
    </row>
    <row r="400" spans="1:15">
      <c r="A400">
        <v>399</v>
      </c>
      <c r="B400" s="1">
        <v>45915</v>
      </c>
      <c r="C400">
        <v>2025</v>
      </c>
      <c r="D400" t="s">
        <v>69</v>
      </c>
      <c r="E400" t="s">
        <v>105</v>
      </c>
      <c r="F400" t="s">
        <v>17</v>
      </c>
      <c r="G400" t="s">
        <v>38</v>
      </c>
      <c r="H400" t="s">
        <v>27</v>
      </c>
      <c r="I400" t="s">
        <v>20</v>
      </c>
      <c r="J400" t="s">
        <v>97</v>
      </c>
      <c r="K400">
        <v>3</v>
      </c>
      <c r="L400" s="2">
        <v>3037.35</v>
      </c>
      <c r="M400" s="2">
        <v>9112.0499999999993</v>
      </c>
      <c r="N400" t="s">
        <v>22</v>
      </c>
      <c r="O400" t="s">
        <v>42</v>
      </c>
    </row>
    <row r="401" spans="1:15">
      <c r="A401">
        <v>400</v>
      </c>
      <c r="B401" s="1">
        <v>45673</v>
      </c>
      <c r="C401">
        <v>2025</v>
      </c>
      <c r="D401" t="s">
        <v>52</v>
      </c>
      <c r="E401" t="s">
        <v>56</v>
      </c>
      <c r="F401" t="s">
        <v>26</v>
      </c>
      <c r="G401" t="s">
        <v>18</v>
      </c>
      <c r="H401" t="s">
        <v>90</v>
      </c>
      <c r="I401" t="s">
        <v>57</v>
      </c>
      <c r="J401" t="s">
        <v>58</v>
      </c>
      <c r="K401">
        <v>5</v>
      </c>
      <c r="L401" s="2">
        <v>1255.33</v>
      </c>
      <c r="M401" s="2">
        <v>6276.65</v>
      </c>
      <c r="N401" t="s">
        <v>30</v>
      </c>
      <c r="O401" t="s">
        <v>23</v>
      </c>
    </row>
    <row r="402" spans="1:15">
      <c r="A402">
        <v>401</v>
      </c>
      <c r="B402" s="1">
        <v>45989</v>
      </c>
      <c r="C402">
        <v>2025</v>
      </c>
      <c r="D402" t="s">
        <v>15</v>
      </c>
      <c r="E402" t="s">
        <v>32</v>
      </c>
      <c r="F402" t="s">
        <v>26</v>
      </c>
      <c r="G402" t="s">
        <v>44</v>
      </c>
      <c r="H402" t="s">
        <v>49</v>
      </c>
      <c r="I402" t="s">
        <v>39</v>
      </c>
      <c r="J402" t="s">
        <v>76</v>
      </c>
      <c r="K402">
        <v>5</v>
      </c>
      <c r="L402" s="2">
        <v>134.80000000000001</v>
      </c>
      <c r="M402" s="2">
        <v>674</v>
      </c>
      <c r="N402" t="s">
        <v>22</v>
      </c>
      <c r="O402" t="s">
        <v>23</v>
      </c>
    </row>
    <row r="403" spans="1:15">
      <c r="A403">
        <v>402</v>
      </c>
      <c r="B403" s="1">
        <v>45701</v>
      </c>
      <c r="C403">
        <v>2025</v>
      </c>
      <c r="D403" t="s">
        <v>24</v>
      </c>
      <c r="E403" t="s">
        <v>111</v>
      </c>
      <c r="F403" t="s">
        <v>17</v>
      </c>
      <c r="G403" t="s">
        <v>18</v>
      </c>
      <c r="H403" t="s">
        <v>60</v>
      </c>
      <c r="I403" t="s">
        <v>39</v>
      </c>
      <c r="J403" t="s">
        <v>46</v>
      </c>
      <c r="K403">
        <v>3</v>
      </c>
      <c r="L403" s="2">
        <v>336.93</v>
      </c>
      <c r="M403" s="2">
        <v>1010.79</v>
      </c>
      <c r="N403" t="s">
        <v>30</v>
      </c>
      <c r="O403" t="s">
        <v>23</v>
      </c>
    </row>
    <row r="404" spans="1:15">
      <c r="A404">
        <v>403</v>
      </c>
      <c r="B404" s="1">
        <v>45973</v>
      </c>
      <c r="C404">
        <v>2025</v>
      </c>
      <c r="D404" t="s">
        <v>15</v>
      </c>
      <c r="E404" t="s">
        <v>78</v>
      </c>
      <c r="F404" t="s">
        <v>17</v>
      </c>
      <c r="G404" t="s">
        <v>44</v>
      </c>
      <c r="H404" t="s">
        <v>67</v>
      </c>
      <c r="I404" t="s">
        <v>39</v>
      </c>
      <c r="J404" t="s">
        <v>46</v>
      </c>
      <c r="K404">
        <v>1</v>
      </c>
      <c r="L404" s="2">
        <v>335.66</v>
      </c>
      <c r="M404" s="2">
        <v>335.66</v>
      </c>
      <c r="N404" t="s">
        <v>22</v>
      </c>
      <c r="O404" t="s">
        <v>23</v>
      </c>
    </row>
    <row r="405" spans="1:15">
      <c r="A405">
        <v>404</v>
      </c>
      <c r="B405" s="1">
        <v>45695</v>
      </c>
      <c r="C405">
        <v>2025</v>
      </c>
      <c r="D405" t="s">
        <v>24</v>
      </c>
      <c r="E405" t="s">
        <v>84</v>
      </c>
      <c r="F405" t="s">
        <v>17</v>
      </c>
      <c r="G405" t="s">
        <v>33</v>
      </c>
      <c r="H405" t="s">
        <v>54</v>
      </c>
      <c r="I405" t="s">
        <v>39</v>
      </c>
      <c r="J405" t="s">
        <v>76</v>
      </c>
      <c r="K405">
        <v>3</v>
      </c>
      <c r="L405" s="2">
        <v>122.78</v>
      </c>
      <c r="M405" s="2">
        <v>368.34</v>
      </c>
      <c r="N405" t="s">
        <v>30</v>
      </c>
      <c r="O405" t="s">
        <v>23</v>
      </c>
    </row>
    <row r="406" spans="1:15">
      <c r="A406">
        <v>405</v>
      </c>
      <c r="B406" s="1">
        <v>45778</v>
      </c>
      <c r="C406">
        <v>2025</v>
      </c>
      <c r="D406" t="s">
        <v>31</v>
      </c>
      <c r="E406" t="s">
        <v>132</v>
      </c>
      <c r="F406" t="s">
        <v>26</v>
      </c>
      <c r="G406" t="s">
        <v>38</v>
      </c>
      <c r="H406" t="s">
        <v>54</v>
      </c>
      <c r="I406" t="s">
        <v>20</v>
      </c>
      <c r="J406" t="s">
        <v>97</v>
      </c>
      <c r="K406">
        <v>5</v>
      </c>
      <c r="L406" s="2">
        <v>2844.18</v>
      </c>
      <c r="M406" s="2">
        <v>14220.9</v>
      </c>
      <c r="N406" t="s">
        <v>41</v>
      </c>
      <c r="O406" t="s">
        <v>23</v>
      </c>
    </row>
    <row r="407" spans="1:15">
      <c r="A407">
        <v>406</v>
      </c>
      <c r="B407" s="1">
        <v>45736</v>
      </c>
      <c r="C407">
        <v>2025</v>
      </c>
      <c r="D407" t="s">
        <v>81</v>
      </c>
      <c r="E407" t="s">
        <v>66</v>
      </c>
      <c r="F407" t="s">
        <v>26</v>
      </c>
      <c r="G407" t="s">
        <v>80</v>
      </c>
      <c r="H407" t="s">
        <v>45</v>
      </c>
      <c r="I407" t="s">
        <v>63</v>
      </c>
      <c r="J407" t="s">
        <v>89</v>
      </c>
      <c r="K407">
        <v>3</v>
      </c>
      <c r="L407" s="2">
        <v>3375.07</v>
      </c>
      <c r="M407" s="2">
        <v>10125.209999999999</v>
      </c>
      <c r="N407" t="s">
        <v>22</v>
      </c>
      <c r="O407" t="s">
        <v>23</v>
      </c>
    </row>
    <row r="408" spans="1:15">
      <c r="A408">
        <v>407</v>
      </c>
      <c r="B408" s="1">
        <v>45842</v>
      </c>
      <c r="C408">
        <v>2025</v>
      </c>
      <c r="D408" t="s">
        <v>36</v>
      </c>
      <c r="E408" t="s">
        <v>112</v>
      </c>
      <c r="F408" t="s">
        <v>17</v>
      </c>
      <c r="G408" t="s">
        <v>38</v>
      </c>
      <c r="H408" t="s">
        <v>67</v>
      </c>
      <c r="I408" t="s">
        <v>28</v>
      </c>
      <c r="J408" t="s">
        <v>74</v>
      </c>
      <c r="K408">
        <v>4</v>
      </c>
      <c r="L408" s="2">
        <v>4478.9399999999996</v>
      </c>
      <c r="M408" s="2">
        <v>17915.759999999998</v>
      </c>
      <c r="N408" t="s">
        <v>35</v>
      </c>
      <c r="O408" t="s">
        <v>23</v>
      </c>
    </row>
    <row r="409" spans="1:15">
      <c r="A409">
        <v>408</v>
      </c>
      <c r="B409" s="1">
        <v>45968</v>
      </c>
      <c r="C409">
        <v>2025</v>
      </c>
      <c r="D409" t="s">
        <v>15</v>
      </c>
      <c r="E409" t="s">
        <v>132</v>
      </c>
      <c r="F409" t="s">
        <v>26</v>
      </c>
      <c r="G409" t="s">
        <v>44</v>
      </c>
      <c r="H409" t="s">
        <v>19</v>
      </c>
      <c r="I409" t="s">
        <v>20</v>
      </c>
      <c r="J409" t="s">
        <v>97</v>
      </c>
      <c r="K409">
        <v>2</v>
      </c>
      <c r="L409" s="2">
        <v>3139.82</v>
      </c>
      <c r="M409" s="2">
        <v>6279.64</v>
      </c>
      <c r="N409" t="s">
        <v>35</v>
      </c>
      <c r="O409" t="s">
        <v>42</v>
      </c>
    </row>
    <row r="410" spans="1:15">
      <c r="A410">
        <v>409</v>
      </c>
      <c r="B410" s="1">
        <v>45981</v>
      </c>
      <c r="C410">
        <v>2025</v>
      </c>
      <c r="D410" t="s">
        <v>15</v>
      </c>
      <c r="E410" t="s">
        <v>106</v>
      </c>
      <c r="F410" t="s">
        <v>17</v>
      </c>
      <c r="G410" t="s">
        <v>18</v>
      </c>
      <c r="H410" t="s">
        <v>67</v>
      </c>
      <c r="I410" t="s">
        <v>20</v>
      </c>
      <c r="J410" t="s">
        <v>93</v>
      </c>
      <c r="K410">
        <v>5</v>
      </c>
      <c r="L410" s="2">
        <v>964.57</v>
      </c>
      <c r="M410" s="2">
        <v>4822.8500000000004</v>
      </c>
      <c r="N410" t="s">
        <v>22</v>
      </c>
      <c r="O410" t="s">
        <v>23</v>
      </c>
    </row>
    <row r="411" spans="1:15">
      <c r="A411">
        <v>410</v>
      </c>
      <c r="B411" s="1">
        <v>45734</v>
      </c>
      <c r="C411">
        <v>2025</v>
      </c>
      <c r="D411" t="s">
        <v>81</v>
      </c>
      <c r="E411" t="s">
        <v>75</v>
      </c>
      <c r="F411" t="s">
        <v>17</v>
      </c>
      <c r="G411" t="s">
        <v>33</v>
      </c>
      <c r="H411" t="s">
        <v>60</v>
      </c>
      <c r="I411" t="s">
        <v>39</v>
      </c>
      <c r="J411" t="s">
        <v>85</v>
      </c>
      <c r="K411">
        <v>2</v>
      </c>
      <c r="L411" s="2">
        <v>292.11</v>
      </c>
      <c r="M411" s="2">
        <v>584.22</v>
      </c>
      <c r="N411" t="s">
        <v>22</v>
      </c>
      <c r="O411" t="s">
        <v>23</v>
      </c>
    </row>
    <row r="412" spans="1:15">
      <c r="A412">
        <v>411</v>
      </c>
      <c r="B412" s="1">
        <v>45704</v>
      </c>
      <c r="C412">
        <v>2025</v>
      </c>
      <c r="D412" t="s">
        <v>24</v>
      </c>
      <c r="E412" t="s">
        <v>107</v>
      </c>
      <c r="F412" t="s">
        <v>17</v>
      </c>
      <c r="G412" t="s">
        <v>18</v>
      </c>
      <c r="H412" t="s">
        <v>60</v>
      </c>
      <c r="I412" t="s">
        <v>57</v>
      </c>
      <c r="J412" t="s">
        <v>110</v>
      </c>
      <c r="K412">
        <v>5</v>
      </c>
      <c r="L412" s="2">
        <v>1787.47</v>
      </c>
      <c r="M412" s="2">
        <v>8937.35</v>
      </c>
      <c r="N412" t="s">
        <v>30</v>
      </c>
      <c r="O412" t="s">
        <v>23</v>
      </c>
    </row>
    <row r="413" spans="1:15">
      <c r="A413">
        <v>412</v>
      </c>
      <c r="B413" s="1">
        <v>45749</v>
      </c>
      <c r="C413">
        <v>2025</v>
      </c>
      <c r="D413" t="s">
        <v>86</v>
      </c>
      <c r="E413" t="s">
        <v>106</v>
      </c>
      <c r="F413" t="s">
        <v>26</v>
      </c>
      <c r="G413" t="s">
        <v>38</v>
      </c>
      <c r="H413" t="s">
        <v>45</v>
      </c>
      <c r="I413" t="s">
        <v>63</v>
      </c>
      <c r="J413" t="s">
        <v>95</v>
      </c>
      <c r="K413">
        <v>4</v>
      </c>
      <c r="L413" s="2">
        <v>2104.35</v>
      </c>
      <c r="M413" s="2">
        <v>8417.4</v>
      </c>
      <c r="N413" t="s">
        <v>35</v>
      </c>
      <c r="O413" t="s">
        <v>23</v>
      </c>
    </row>
    <row r="414" spans="1:15">
      <c r="A414">
        <v>413</v>
      </c>
      <c r="B414" s="1">
        <v>45777</v>
      </c>
      <c r="C414">
        <v>2025</v>
      </c>
      <c r="D414" t="s">
        <v>86</v>
      </c>
      <c r="E414" t="s">
        <v>121</v>
      </c>
      <c r="F414" t="s">
        <v>26</v>
      </c>
      <c r="G414" t="s">
        <v>38</v>
      </c>
      <c r="H414" t="s">
        <v>62</v>
      </c>
      <c r="I414" t="s">
        <v>20</v>
      </c>
      <c r="J414" t="s">
        <v>34</v>
      </c>
      <c r="K414">
        <v>5</v>
      </c>
      <c r="L414" s="2">
        <v>2306.59</v>
      </c>
      <c r="M414" s="2">
        <v>11532.95</v>
      </c>
      <c r="N414" t="s">
        <v>35</v>
      </c>
      <c r="O414" t="s">
        <v>70</v>
      </c>
    </row>
    <row r="415" spans="1:15">
      <c r="A415">
        <v>414</v>
      </c>
      <c r="B415" s="1">
        <v>45823</v>
      </c>
      <c r="C415">
        <v>2025</v>
      </c>
      <c r="D415" t="s">
        <v>101</v>
      </c>
      <c r="E415" t="s">
        <v>87</v>
      </c>
      <c r="F415" t="s">
        <v>26</v>
      </c>
      <c r="G415" t="s">
        <v>38</v>
      </c>
      <c r="H415" t="s">
        <v>54</v>
      </c>
      <c r="I415" t="s">
        <v>20</v>
      </c>
      <c r="J415" t="s">
        <v>97</v>
      </c>
      <c r="K415">
        <v>3</v>
      </c>
      <c r="L415" s="2">
        <v>3027.3</v>
      </c>
      <c r="M415" s="2">
        <v>9081.9</v>
      </c>
      <c r="N415" t="s">
        <v>35</v>
      </c>
      <c r="O415" t="s">
        <v>23</v>
      </c>
    </row>
    <row r="416" spans="1:15">
      <c r="A416">
        <v>415</v>
      </c>
      <c r="B416" s="1">
        <v>45850</v>
      </c>
      <c r="C416">
        <v>2025</v>
      </c>
      <c r="D416" t="s">
        <v>36</v>
      </c>
      <c r="E416" t="s">
        <v>112</v>
      </c>
      <c r="F416" t="s">
        <v>26</v>
      </c>
      <c r="G416" t="s">
        <v>38</v>
      </c>
      <c r="H416" t="s">
        <v>49</v>
      </c>
      <c r="I416" t="s">
        <v>28</v>
      </c>
      <c r="J416" t="s">
        <v>51</v>
      </c>
      <c r="K416">
        <v>3</v>
      </c>
      <c r="L416" s="2">
        <v>7265.44</v>
      </c>
      <c r="M416" s="2">
        <v>21796.32</v>
      </c>
      <c r="N416" t="s">
        <v>35</v>
      </c>
      <c r="O416" t="s">
        <v>23</v>
      </c>
    </row>
    <row r="417" spans="1:15">
      <c r="A417">
        <v>416</v>
      </c>
      <c r="B417" s="1">
        <v>45729</v>
      </c>
      <c r="C417">
        <v>2025</v>
      </c>
      <c r="D417" t="s">
        <v>81</v>
      </c>
      <c r="E417" t="s">
        <v>72</v>
      </c>
      <c r="F417" t="s">
        <v>26</v>
      </c>
      <c r="G417" t="s">
        <v>80</v>
      </c>
      <c r="H417" t="s">
        <v>60</v>
      </c>
      <c r="I417" t="s">
        <v>57</v>
      </c>
      <c r="J417" t="s">
        <v>58</v>
      </c>
      <c r="K417">
        <v>2</v>
      </c>
      <c r="L417" s="2">
        <v>1233.08</v>
      </c>
      <c r="M417" s="2">
        <v>2466.16</v>
      </c>
      <c r="N417" t="s">
        <v>30</v>
      </c>
      <c r="O417" t="s">
        <v>23</v>
      </c>
    </row>
    <row r="418" spans="1:15">
      <c r="A418">
        <v>417</v>
      </c>
      <c r="B418" s="1">
        <v>45718</v>
      </c>
      <c r="C418">
        <v>2025</v>
      </c>
      <c r="D418" t="s">
        <v>81</v>
      </c>
      <c r="E418" t="s">
        <v>118</v>
      </c>
      <c r="F418" t="s">
        <v>17</v>
      </c>
      <c r="G418" t="s">
        <v>38</v>
      </c>
      <c r="H418" t="s">
        <v>45</v>
      </c>
      <c r="I418" t="s">
        <v>28</v>
      </c>
      <c r="J418" t="s">
        <v>51</v>
      </c>
      <c r="K418">
        <v>3</v>
      </c>
      <c r="L418" s="2">
        <v>7183.99</v>
      </c>
      <c r="M418" s="2">
        <v>21551.97</v>
      </c>
      <c r="N418" t="s">
        <v>30</v>
      </c>
      <c r="O418" t="s">
        <v>23</v>
      </c>
    </row>
    <row r="419" spans="1:15">
      <c r="A419">
        <v>418</v>
      </c>
      <c r="B419" s="1">
        <v>45868</v>
      </c>
      <c r="C419">
        <v>2025</v>
      </c>
      <c r="D419" t="s">
        <v>36</v>
      </c>
      <c r="E419" t="s">
        <v>75</v>
      </c>
      <c r="F419" t="s">
        <v>26</v>
      </c>
      <c r="G419" t="s">
        <v>18</v>
      </c>
      <c r="H419" t="s">
        <v>62</v>
      </c>
      <c r="I419" t="s">
        <v>20</v>
      </c>
      <c r="J419" t="s">
        <v>34</v>
      </c>
      <c r="K419">
        <v>1</v>
      </c>
      <c r="L419" s="2">
        <v>2100.81</v>
      </c>
      <c r="M419" s="2">
        <v>2100.81</v>
      </c>
      <c r="N419" t="s">
        <v>30</v>
      </c>
      <c r="O419" t="s">
        <v>23</v>
      </c>
    </row>
    <row r="420" spans="1:15">
      <c r="A420">
        <v>419</v>
      </c>
      <c r="B420" s="1">
        <v>45790</v>
      </c>
      <c r="C420">
        <v>2025</v>
      </c>
      <c r="D420" t="s">
        <v>31</v>
      </c>
      <c r="E420" t="s">
        <v>119</v>
      </c>
      <c r="F420" t="s">
        <v>26</v>
      </c>
      <c r="G420" t="s">
        <v>33</v>
      </c>
      <c r="H420" t="s">
        <v>19</v>
      </c>
      <c r="I420" t="s">
        <v>28</v>
      </c>
      <c r="J420" t="s">
        <v>51</v>
      </c>
      <c r="K420">
        <v>5</v>
      </c>
      <c r="L420" s="2">
        <v>7393.11</v>
      </c>
      <c r="M420" s="2">
        <v>36965.550000000003</v>
      </c>
      <c r="N420" t="s">
        <v>30</v>
      </c>
      <c r="O420" t="s">
        <v>23</v>
      </c>
    </row>
    <row r="421" spans="1:15">
      <c r="A421">
        <v>420</v>
      </c>
      <c r="B421" s="1">
        <v>45899</v>
      </c>
      <c r="C421">
        <v>2025</v>
      </c>
      <c r="D421" t="s">
        <v>47</v>
      </c>
      <c r="E421" t="s">
        <v>133</v>
      </c>
      <c r="F421" t="s">
        <v>26</v>
      </c>
      <c r="G421" t="s">
        <v>18</v>
      </c>
      <c r="H421" t="s">
        <v>60</v>
      </c>
      <c r="I421" t="s">
        <v>57</v>
      </c>
      <c r="J421" t="s">
        <v>58</v>
      </c>
      <c r="K421">
        <v>2</v>
      </c>
      <c r="L421" s="2">
        <v>1350.5</v>
      </c>
      <c r="M421" s="2">
        <v>2701</v>
      </c>
      <c r="N421" t="s">
        <v>41</v>
      </c>
      <c r="O421" t="s">
        <v>23</v>
      </c>
    </row>
    <row r="422" spans="1:15">
      <c r="A422">
        <v>421</v>
      </c>
      <c r="B422" s="1">
        <v>46009</v>
      </c>
      <c r="C422">
        <v>2025</v>
      </c>
      <c r="D422" t="s">
        <v>71</v>
      </c>
      <c r="E422" t="s">
        <v>43</v>
      </c>
      <c r="F422" t="s">
        <v>26</v>
      </c>
      <c r="G422" t="s">
        <v>80</v>
      </c>
      <c r="H422" t="s">
        <v>19</v>
      </c>
      <c r="I422" t="s">
        <v>39</v>
      </c>
      <c r="J422" t="s">
        <v>85</v>
      </c>
      <c r="K422">
        <v>5</v>
      </c>
      <c r="L422" s="2">
        <v>282.02999999999997</v>
      </c>
      <c r="M422" s="2">
        <v>1410.15</v>
      </c>
      <c r="N422" t="s">
        <v>35</v>
      </c>
      <c r="O422" t="s">
        <v>23</v>
      </c>
    </row>
    <row r="423" spans="1:15">
      <c r="A423">
        <v>422</v>
      </c>
      <c r="B423" s="1">
        <v>45916</v>
      </c>
      <c r="C423">
        <v>2025</v>
      </c>
      <c r="D423" t="s">
        <v>69</v>
      </c>
      <c r="E423" t="s">
        <v>118</v>
      </c>
      <c r="F423" t="s">
        <v>79</v>
      </c>
      <c r="G423" t="s">
        <v>18</v>
      </c>
      <c r="H423" t="s">
        <v>62</v>
      </c>
      <c r="I423" t="s">
        <v>57</v>
      </c>
      <c r="J423" t="s">
        <v>58</v>
      </c>
      <c r="K423">
        <v>5</v>
      </c>
      <c r="L423" s="2">
        <v>1236.07</v>
      </c>
      <c r="M423" s="2">
        <v>6180.35</v>
      </c>
      <c r="N423" t="s">
        <v>35</v>
      </c>
      <c r="O423" t="s">
        <v>23</v>
      </c>
    </row>
    <row r="424" spans="1:15">
      <c r="A424">
        <v>423</v>
      </c>
      <c r="B424" s="1">
        <v>45995</v>
      </c>
      <c r="C424">
        <v>2025</v>
      </c>
      <c r="D424" t="s">
        <v>71</v>
      </c>
      <c r="E424" t="s">
        <v>121</v>
      </c>
      <c r="F424" t="s">
        <v>79</v>
      </c>
      <c r="G424" t="s">
        <v>18</v>
      </c>
      <c r="H424" t="s">
        <v>27</v>
      </c>
      <c r="I424" t="s">
        <v>28</v>
      </c>
      <c r="J424" t="s">
        <v>55</v>
      </c>
      <c r="K424">
        <v>4</v>
      </c>
      <c r="L424" s="2">
        <v>3508.26</v>
      </c>
      <c r="M424" s="2">
        <v>14033.04</v>
      </c>
      <c r="N424" t="s">
        <v>30</v>
      </c>
      <c r="O424" t="s">
        <v>70</v>
      </c>
    </row>
    <row r="425" spans="1:15">
      <c r="A425">
        <v>424</v>
      </c>
      <c r="B425" s="1">
        <v>45904</v>
      </c>
      <c r="C425">
        <v>2025</v>
      </c>
      <c r="D425" t="s">
        <v>69</v>
      </c>
      <c r="E425" t="s">
        <v>108</v>
      </c>
      <c r="F425" t="s">
        <v>17</v>
      </c>
      <c r="G425" t="s">
        <v>18</v>
      </c>
      <c r="H425" t="s">
        <v>19</v>
      </c>
      <c r="I425" t="s">
        <v>57</v>
      </c>
      <c r="J425" t="s">
        <v>110</v>
      </c>
      <c r="K425">
        <v>5</v>
      </c>
      <c r="L425" s="2">
        <v>1968.42</v>
      </c>
      <c r="M425" s="2">
        <v>9842.1</v>
      </c>
      <c r="N425" t="s">
        <v>22</v>
      </c>
      <c r="O425" t="s">
        <v>23</v>
      </c>
    </row>
    <row r="426" spans="1:15">
      <c r="A426">
        <v>425</v>
      </c>
      <c r="B426" s="1">
        <v>45902</v>
      </c>
      <c r="C426">
        <v>2025</v>
      </c>
      <c r="D426" t="s">
        <v>69</v>
      </c>
      <c r="E426" t="s">
        <v>37</v>
      </c>
      <c r="F426" t="s">
        <v>26</v>
      </c>
      <c r="G426" t="s">
        <v>80</v>
      </c>
      <c r="H426" t="s">
        <v>62</v>
      </c>
      <c r="I426" t="s">
        <v>28</v>
      </c>
      <c r="J426" t="s">
        <v>55</v>
      </c>
      <c r="K426">
        <v>3</v>
      </c>
      <c r="L426" s="2">
        <v>3540.27</v>
      </c>
      <c r="M426" s="2">
        <v>10620.81</v>
      </c>
      <c r="N426" t="s">
        <v>35</v>
      </c>
      <c r="O426" t="s">
        <v>23</v>
      </c>
    </row>
    <row r="427" spans="1:15">
      <c r="A427">
        <v>426</v>
      </c>
      <c r="B427" s="1">
        <v>45718</v>
      </c>
      <c r="C427">
        <v>2025</v>
      </c>
      <c r="D427" t="s">
        <v>81</v>
      </c>
      <c r="E427" t="s">
        <v>103</v>
      </c>
      <c r="F427" t="s">
        <v>17</v>
      </c>
      <c r="G427" t="s">
        <v>38</v>
      </c>
      <c r="H427" t="s">
        <v>54</v>
      </c>
      <c r="I427" t="s">
        <v>63</v>
      </c>
      <c r="J427" t="s">
        <v>64</v>
      </c>
      <c r="K427">
        <v>4</v>
      </c>
      <c r="L427" s="2">
        <v>1221.24</v>
      </c>
      <c r="M427" s="2">
        <v>4884.96</v>
      </c>
      <c r="N427" t="s">
        <v>35</v>
      </c>
      <c r="O427" t="s">
        <v>23</v>
      </c>
    </row>
    <row r="428" spans="1:15">
      <c r="A428">
        <v>427</v>
      </c>
      <c r="B428" s="1">
        <v>45991</v>
      </c>
      <c r="C428">
        <v>2025</v>
      </c>
      <c r="D428" t="s">
        <v>15</v>
      </c>
      <c r="E428" t="s">
        <v>77</v>
      </c>
      <c r="F428" t="s">
        <v>17</v>
      </c>
      <c r="G428" t="s">
        <v>18</v>
      </c>
      <c r="H428" t="s">
        <v>90</v>
      </c>
      <c r="I428" t="s">
        <v>63</v>
      </c>
      <c r="J428" t="s">
        <v>89</v>
      </c>
      <c r="K428">
        <v>3</v>
      </c>
      <c r="L428" s="2">
        <v>3335.27</v>
      </c>
      <c r="M428" s="2">
        <v>10005.81</v>
      </c>
      <c r="N428" t="s">
        <v>22</v>
      </c>
      <c r="O428" t="s">
        <v>23</v>
      </c>
    </row>
    <row r="429" spans="1:15">
      <c r="A429">
        <v>428</v>
      </c>
      <c r="B429" s="1">
        <v>45869</v>
      </c>
      <c r="C429">
        <v>2025</v>
      </c>
      <c r="D429" t="s">
        <v>36</v>
      </c>
      <c r="E429" t="s">
        <v>25</v>
      </c>
      <c r="F429" t="s">
        <v>26</v>
      </c>
      <c r="G429" t="s">
        <v>33</v>
      </c>
      <c r="H429" t="s">
        <v>49</v>
      </c>
      <c r="I429" t="s">
        <v>63</v>
      </c>
      <c r="J429" t="s">
        <v>109</v>
      </c>
      <c r="K429">
        <v>2</v>
      </c>
      <c r="L429" s="2">
        <v>786.56</v>
      </c>
      <c r="M429" s="2">
        <v>1573.12</v>
      </c>
      <c r="N429" t="s">
        <v>41</v>
      </c>
      <c r="O429" t="s">
        <v>23</v>
      </c>
    </row>
    <row r="430" spans="1:15">
      <c r="A430">
        <v>429</v>
      </c>
      <c r="B430" s="1">
        <v>45861</v>
      </c>
      <c r="C430">
        <v>2025</v>
      </c>
      <c r="D430" t="s">
        <v>36</v>
      </c>
      <c r="E430" t="s">
        <v>103</v>
      </c>
      <c r="F430" t="s">
        <v>79</v>
      </c>
      <c r="G430" t="s">
        <v>44</v>
      </c>
      <c r="H430" t="s">
        <v>45</v>
      </c>
      <c r="I430" t="s">
        <v>28</v>
      </c>
      <c r="J430" t="s">
        <v>55</v>
      </c>
      <c r="K430">
        <v>2</v>
      </c>
      <c r="L430" s="2">
        <v>3476.58</v>
      </c>
      <c r="M430" s="2">
        <v>6953.16</v>
      </c>
      <c r="N430" t="s">
        <v>22</v>
      </c>
      <c r="O430" t="s">
        <v>23</v>
      </c>
    </row>
    <row r="431" spans="1:15">
      <c r="A431">
        <v>430</v>
      </c>
      <c r="B431" s="1">
        <v>45939</v>
      </c>
      <c r="C431">
        <v>2025</v>
      </c>
      <c r="D431" t="s">
        <v>65</v>
      </c>
      <c r="E431" t="s">
        <v>119</v>
      </c>
      <c r="F431" t="s">
        <v>26</v>
      </c>
      <c r="G431" t="s">
        <v>44</v>
      </c>
      <c r="H431" t="s">
        <v>60</v>
      </c>
      <c r="I431" t="s">
        <v>63</v>
      </c>
      <c r="J431" t="s">
        <v>64</v>
      </c>
      <c r="K431">
        <v>2</v>
      </c>
      <c r="L431" s="2">
        <v>1183.04</v>
      </c>
      <c r="M431" s="2">
        <v>2366.08</v>
      </c>
      <c r="N431" t="s">
        <v>22</v>
      </c>
      <c r="O431" t="s">
        <v>70</v>
      </c>
    </row>
    <row r="432" spans="1:15">
      <c r="A432">
        <v>431</v>
      </c>
      <c r="B432" s="1">
        <v>45880</v>
      </c>
      <c r="C432">
        <v>2025</v>
      </c>
      <c r="D432" t="s">
        <v>47</v>
      </c>
      <c r="E432" t="s">
        <v>59</v>
      </c>
      <c r="F432" t="s">
        <v>17</v>
      </c>
      <c r="G432" t="s">
        <v>38</v>
      </c>
      <c r="H432" t="s">
        <v>27</v>
      </c>
      <c r="I432" t="s">
        <v>20</v>
      </c>
      <c r="J432" t="s">
        <v>21</v>
      </c>
      <c r="K432">
        <v>3</v>
      </c>
      <c r="L432" s="2">
        <v>1448.95</v>
      </c>
      <c r="M432" s="2">
        <v>4346.8500000000004</v>
      </c>
      <c r="N432" t="s">
        <v>41</v>
      </c>
      <c r="O432" t="s">
        <v>23</v>
      </c>
    </row>
    <row r="433" spans="1:15">
      <c r="A433">
        <v>432</v>
      </c>
      <c r="B433" s="1">
        <v>45963</v>
      </c>
      <c r="C433">
        <v>2025</v>
      </c>
      <c r="D433" t="s">
        <v>15</v>
      </c>
      <c r="E433" t="s">
        <v>132</v>
      </c>
      <c r="F433" t="s">
        <v>79</v>
      </c>
      <c r="G433" t="s">
        <v>18</v>
      </c>
      <c r="H433" t="s">
        <v>90</v>
      </c>
      <c r="I433" t="s">
        <v>20</v>
      </c>
      <c r="J433" t="s">
        <v>34</v>
      </c>
      <c r="K433">
        <v>4</v>
      </c>
      <c r="L433" s="2">
        <v>2182.9</v>
      </c>
      <c r="M433" s="2">
        <v>8731.6</v>
      </c>
      <c r="N433" t="s">
        <v>30</v>
      </c>
      <c r="O433" t="s">
        <v>23</v>
      </c>
    </row>
    <row r="434" spans="1:15">
      <c r="A434">
        <v>433</v>
      </c>
      <c r="B434" s="1">
        <v>45964</v>
      </c>
      <c r="C434">
        <v>2025</v>
      </c>
      <c r="D434" t="s">
        <v>15</v>
      </c>
      <c r="E434" t="s">
        <v>106</v>
      </c>
      <c r="F434" t="s">
        <v>26</v>
      </c>
      <c r="G434" t="s">
        <v>44</v>
      </c>
      <c r="H434" t="s">
        <v>60</v>
      </c>
      <c r="I434" t="s">
        <v>63</v>
      </c>
      <c r="J434" t="s">
        <v>95</v>
      </c>
      <c r="K434">
        <v>5</v>
      </c>
      <c r="L434" s="2">
        <v>1919.72</v>
      </c>
      <c r="M434" s="2">
        <v>9598.6</v>
      </c>
      <c r="N434" t="s">
        <v>35</v>
      </c>
      <c r="O434" t="s">
        <v>70</v>
      </c>
    </row>
    <row r="435" spans="1:15">
      <c r="A435">
        <v>434</v>
      </c>
      <c r="B435" s="1">
        <v>45862</v>
      </c>
      <c r="C435">
        <v>2025</v>
      </c>
      <c r="D435" t="s">
        <v>36</v>
      </c>
      <c r="E435" t="s">
        <v>115</v>
      </c>
      <c r="F435" t="s">
        <v>26</v>
      </c>
      <c r="G435" t="s">
        <v>44</v>
      </c>
      <c r="H435" t="s">
        <v>19</v>
      </c>
      <c r="I435" t="s">
        <v>39</v>
      </c>
      <c r="J435" t="s">
        <v>85</v>
      </c>
      <c r="K435">
        <v>4</v>
      </c>
      <c r="L435" s="2">
        <v>281.88</v>
      </c>
      <c r="M435" s="2">
        <v>1127.52</v>
      </c>
      <c r="N435" t="s">
        <v>41</v>
      </c>
      <c r="O435" t="s">
        <v>23</v>
      </c>
    </row>
    <row r="436" spans="1:15">
      <c r="A436">
        <v>435</v>
      </c>
      <c r="B436" s="1">
        <v>45944</v>
      </c>
      <c r="C436">
        <v>2025</v>
      </c>
      <c r="D436" t="s">
        <v>65</v>
      </c>
      <c r="E436" t="s">
        <v>99</v>
      </c>
      <c r="F436" t="s">
        <v>26</v>
      </c>
      <c r="G436" t="s">
        <v>80</v>
      </c>
      <c r="H436" t="s">
        <v>73</v>
      </c>
      <c r="I436" t="s">
        <v>63</v>
      </c>
      <c r="J436" t="s">
        <v>89</v>
      </c>
      <c r="K436">
        <v>3</v>
      </c>
      <c r="L436" s="2">
        <v>3376.85</v>
      </c>
      <c r="M436" s="2">
        <v>10130.549999999999</v>
      </c>
      <c r="N436" t="s">
        <v>22</v>
      </c>
      <c r="O436" t="s">
        <v>23</v>
      </c>
    </row>
    <row r="437" spans="1:15">
      <c r="A437">
        <v>436</v>
      </c>
      <c r="B437" s="1">
        <v>45791</v>
      </c>
      <c r="C437">
        <v>2025</v>
      </c>
      <c r="D437" t="s">
        <v>31</v>
      </c>
      <c r="E437" t="s">
        <v>53</v>
      </c>
      <c r="F437" t="s">
        <v>26</v>
      </c>
      <c r="G437" t="s">
        <v>33</v>
      </c>
      <c r="H437" t="s">
        <v>19</v>
      </c>
      <c r="I437" t="s">
        <v>28</v>
      </c>
      <c r="J437" t="s">
        <v>51</v>
      </c>
      <c r="K437">
        <v>5</v>
      </c>
      <c r="L437" s="2">
        <v>6668.48</v>
      </c>
      <c r="M437" s="2">
        <v>33342.400000000001</v>
      </c>
      <c r="N437" t="s">
        <v>41</v>
      </c>
      <c r="O437" t="s">
        <v>42</v>
      </c>
    </row>
    <row r="438" spans="1:15">
      <c r="A438">
        <v>437</v>
      </c>
      <c r="B438" s="1">
        <v>45952</v>
      </c>
      <c r="C438">
        <v>2025</v>
      </c>
      <c r="D438" t="s">
        <v>65</v>
      </c>
      <c r="E438" t="s">
        <v>130</v>
      </c>
      <c r="F438" t="s">
        <v>26</v>
      </c>
      <c r="G438" t="s">
        <v>33</v>
      </c>
      <c r="H438" t="s">
        <v>73</v>
      </c>
      <c r="I438" t="s">
        <v>39</v>
      </c>
      <c r="J438" t="s">
        <v>85</v>
      </c>
      <c r="K438">
        <v>4</v>
      </c>
      <c r="L438" s="2">
        <v>281.11</v>
      </c>
      <c r="M438" s="2">
        <v>1124.44</v>
      </c>
      <c r="N438" t="s">
        <v>22</v>
      </c>
      <c r="O438" t="s">
        <v>42</v>
      </c>
    </row>
    <row r="439" spans="1:15">
      <c r="A439">
        <v>438</v>
      </c>
      <c r="B439" s="1">
        <v>45672</v>
      </c>
      <c r="C439">
        <v>2025</v>
      </c>
      <c r="D439" t="s">
        <v>52</v>
      </c>
      <c r="E439" t="s">
        <v>119</v>
      </c>
      <c r="F439" t="s">
        <v>17</v>
      </c>
      <c r="G439" t="s">
        <v>80</v>
      </c>
      <c r="H439" t="s">
        <v>45</v>
      </c>
      <c r="I439" t="s">
        <v>57</v>
      </c>
      <c r="J439" t="s">
        <v>98</v>
      </c>
      <c r="K439">
        <v>3</v>
      </c>
      <c r="L439" s="2">
        <v>852.35</v>
      </c>
      <c r="M439" s="2">
        <v>2557.0500000000002</v>
      </c>
      <c r="N439" t="s">
        <v>41</v>
      </c>
      <c r="O439" t="s">
        <v>23</v>
      </c>
    </row>
    <row r="440" spans="1:15">
      <c r="A440">
        <v>439</v>
      </c>
      <c r="B440" s="1">
        <v>45838</v>
      </c>
      <c r="C440">
        <v>2025</v>
      </c>
      <c r="D440" t="s">
        <v>101</v>
      </c>
      <c r="E440" t="s">
        <v>59</v>
      </c>
      <c r="F440" t="s">
        <v>26</v>
      </c>
      <c r="G440" t="s">
        <v>33</v>
      </c>
      <c r="H440" t="s">
        <v>19</v>
      </c>
      <c r="I440" t="s">
        <v>63</v>
      </c>
      <c r="J440" t="s">
        <v>64</v>
      </c>
      <c r="K440">
        <v>3</v>
      </c>
      <c r="L440" s="2">
        <v>1162.78</v>
      </c>
      <c r="M440" s="2">
        <v>3488.34</v>
      </c>
      <c r="N440" t="s">
        <v>30</v>
      </c>
      <c r="O440" t="s">
        <v>23</v>
      </c>
    </row>
    <row r="441" spans="1:15">
      <c r="A441">
        <v>440</v>
      </c>
      <c r="B441" s="1">
        <v>45839</v>
      </c>
      <c r="C441">
        <v>2025</v>
      </c>
      <c r="D441" t="s">
        <v>36</v>
      </c>
      <c r="E441" t="s">
        <v>120</v>
      </c>
      <c r="F441" t="s">
        <v>79</v>
      </c>
      <c r="G441" t="s">
        <v>80</v>
      </c>
      <c r="H441" t="s">
        <v>73</v>
      </c>
      <c r="I441" t="s">
        <v>28</v>
      </c>
      <c r="J441" t="s">
        <v>74</v>
      </c>
      <c r="K441">
        <v>2</v>
      </c>
      <c r="L441" s="2">
        <v>4740.3900000000003</v>
      </c>
      <c r="M441" s="2">
        <v>9480.7800000000007</v>
      </c>
      <c r="N441" t="s">
        <v>30</v>
      </c>
      <c r="O441" t="s">
        <v>23</v>
      </c>
    </row>
    <row r="442" spans="1:15">
      <c r="A442">
        <v>441</v>
      </c>
      <c r="B442" s="1">
        <v>45781</v>
      </c>
      <c r="C442">
        <v>2025</v>
      </c>
      <c r="D442" t="s">
        <v>31</v>
      </c>
      <c r="E442" t="s">
        <v>107</v>
      </c>
      <c r="F442" t="s">
        <v>17</v>
      </c>
      <c r="G442" t="s">
        <v>33</v>
      </c>
      <c r="H442" t="s">
        <v>60</v>
      </c>
      <c r="I442" t="s">
        <v>39</v>
      </c>
      <c r="J442" t="s">
        <v>46</v>
      </c>
      <c r="K442">
        <v>2</v>
      </c>
      <c r="L442" s="2">
        <v>336.55</v>
      </c>
      <c r="M442" s="2">
        <v>673.1</v>
      </c>
      <c r="N442" t="s">
        <v>35</v>
      </c>
      <c r="O442" t="s">
        <v>23</v>
      </c>
    </row>
    <row r="443" spans="1:15">
      <c r="A443">
        <v>442</v>
      </c>
      <c r="B443" s="1">
        <v>45698</v>
      </c>
      <c r="C443">
        <v>2025</v>
      </c>
      <c r="D443" t="s">
        <v>24</v>
      </c>
      <c r="E443" t="s">
        <v>124</v>
      </c>
      <c r="F443" t="s">
        <v>26</v>
      </c>
      <c r="G443" t="s">
        <v>18</v>
      </c>
      <c r="H443" t="s">
        <v>54</v>
      </c>
      <c r="I443" t="s">
        <v>57</v>
      </c>
      <c r="J443" t="s">
        <v>98</v>
      </c>
      <c r="K443">
        <v>5</v>
      </c>
      <c r="L443" s="2">
        <v>948.41</v>
      </c>
      <c r="M443" s="2">
        <v>4742.05</v>
      </c>
      <c r="N443" t="s">
        <v>22</v>
      </c>
      <c r="O443" t="s">
        <v>42</v>
      </c>
    </row>
    <row r="444" spans="1:15">
      <c r="A444">
        <v>443</v>
      </c>
      <c r="B444" s="1">
        <v>45952</v>
      </c>
      <c r="C444">
        <v>2025</v>
      </c>
      <c r="D444" t="s">
        <v>65</v>
      </c>
      <c r="E444" t="s">
        <v>108</v>
      </c>
      <c r="F444" t="s">
        <v>26</v>
      </c>
      <c r="G444" t="s">
        <v>38</v>
      </c>
      <c r="H444" t="s">
        <v>45</v>
      </c>
      <c r="I444" t="s">
        <v>39</v>
      </c>
      <c r="J444" t="s">
        <v>85</v>
      </c>
      <c r="K444">
        <v>2</v>
      </c>
      <c r="L444" s="2">
        <v>295.22000000000003</v>
      </c>
      <c r="M444" s="2">
        <v>590.44000000000005</v>
      </c>
      <c r="N444" t="s">
        <v>30</v>
      </c>
      <c r="O444" t="s">
        <v>23</v>
      </c>
    </row>
    <row r="445" spans="1:15">
      <c r="A445">
        <v>444</v>
      </c>
      <c r="B445" s="1">
        <v>45874</v>
      </c>
      <c r="C445">
        <v>2025</v>
      </c>
      <c r="D445" t="s">
        <v>47</v>
      </c>
      <c r="E445" t="s">
        <v>82</v>
      </c>
      <c r="F445" t="s">
        <v>17</v>
      </c>
      <c r="G445" t="s">
        <v>80</v>
      </c>
      <c r="H445" t="s">
        <v>73</v>
      </c>
      <c r="I445" t="s">
        <v>57</v>
      </c>
      <c r="J445" t="s">
        <v>98</v>
      </c>
      <c r="K445">
        <v>5</v>
      </c>
      <c r="L445" s="2">
        <v>882.53</v>
      </c>
      <c r="M445" s="2">
        <v>4412.6499999999996</v>
      </c>
      <c r="N445" t="s">
        <v>35</v>
      </c>
      <c r="O445" t="s">
        <v>23</v>
      </c>
    </row>
    <row r="446" spans="1:15">
      <c r="A446">
        <v>445</v>
      </c>
      <c r="B446" s="1">
        <v>45893</v>
      </c>
      <c r="C446">
        <v>2025</v>
      </c>
      <c r="D446" t="s">
        <v>47</v>
      </c>
      <c r="E446" t="s">
        <v>125</v>
      </c>
      <c r="F446" t="s">
        <v>17</v>
      </c>
      <c r="G446" t="s">
        <v>33</v>
      </c>
      <c r="H446" t="s">
        <v>54</v>
      </c>
      <c r="I446" t="s">
        <v>39</v>
      </c>
      <c r="J446" t="s">
        <v>76</v>
      </c>
      <c r="K446">
        <v>1</v>
      </c>
      <c r="L446" s="2">
        <v>131.69999999999999</v>
      </c>
      <c r="M446" s="2">
        <v>131.69999999999999</v>
      </c>
      <c r="N446" t="s">
        <v>41</v>
      </c>
      <c r="O446" t="s">
        <v>23</v>
      </c>
    </row>
    <row r="447" spans="1:15">
      <c r="A447">
        <v>446</v>
      </c>
      <c r="B447" s="1">
        <v>45792</v>
      </c>
      <c r="C447">
        <v>2025</v>
      </c>
      <c r="D447" t="s">
        <v>31</v>
      </c>
      <c r="E447" t="s">
        <v>92</v>
      </c>
      <c r="F447" t="s">
        <v>26</v>
      </c>
      <c r="G447" t="s">
        <v>38</v>
      </c>
      <c r="H447" t="s">
        <v>27</v>
      </c>
      <c r="I447" t="s">
        <v>28</v>
      </c>
      <c r="J447" t="s">
        <v>74</v>
      </c>
      <c r="K447">
        <v>4</v>
      </c>
      <c r="L447" s="2">
        <v>4746.55</v>
      </c>
      <c r="M447" s="2">
        <v>18986.2</v>
      </c>
      <c r="N447" t="s">
        <v>30</v>
      </c>
      <c r="O447" t="s">
        <v>23</v>
      </c>
    </row>
    <row r="448" spans="1:15">
      <c r="A448">
        <v>447</v>
      </c>
      <c r="B448" s="1">
        <v>45848</v>
      </c>
      <c r="C448">
        <v>2025</v>
      </c>
      <c r="D448" t="s">
        <v>36</v>
      </c>
      <c r="E448" t="s">
        <v>87</v>
      </c>
      <c r="F448" t="s">
        <v>26</v>
      </c>
      <c r="G448" t="s">
        <v>18</v>
      </c>
      <c r="H448" t="s">
        <v>45</v>
      </c>
      <c r="I448" t="s">
        <v>39</v>
      </c>
      <c r="J448" t="s">
        <v>85</v>
      </c>
      <c r="K448">
        <v>3</v>
      </c>
      <c r="L448" s="2">
        <v>277.35000000000002</v>
      </c>
      <c r="M448" s="2">
        <v>832.05</v>
      </c>
      <c r="N448" t="s">
        <v>35</v>
      </c>
      <c r="O448" t="s">
        <v>23</v>
      </c>
    </row>
    <row r="449" spans="1:15">
      <c r="A449">
        <v>448</v>
      </c>
      <c r="B449" s="1">
        <v>45778</v>
      </c>
      <c r="C449">
        <v>2025</v>
      </c>
      <c r="D449" t="s">
        <v>31</v>
      </c>
      <c r="E449" t="s">
        <v>78</v>
      </c>
      <c r="F449" t="s">
        <v>79</v>
      </c>
      <c r="G449" t="s">
        <v>80</v>
      </c>
      <c r="H449" t="s">
        <v>73</v>
      </c>
      <c r="I449" t="s">
        <v>63</v>
      </c>
      <c r="J449" t="s">
        <v>109</v>
      </c>
      <c r="K449">
        <v>4</v>
      </c>
      <c r="L449" s="2">
        <v>769.86</v>
      </c>
      <c r="M449" s="2">
        <v>3079.44</v>
      </c>
      <c r="N449" t="s">
        <v>35</v>
      </c>
      <c r="O449" t="s">
        <v>23</v>
      </c>
    </row>
    <row r="450" spans="1:15">
      <c r="A450">
        <v>449</v>
      </c>
      <c r="B450" s="1">
        <v>45913</v>
      </c>
      <c r="C450">
        <v>2025</v>
      </c>
      <c r="D450" t="s">
        <v>69</v>
      </c>
      <c r="E450" t="s">
        <v>25</v>
      </c>
      <c r="F450" t="s">
        <v>79</v>
      </c>
      <c r="G450" t="s">
        <v>44</v>
      </c>
      <c r="H450" t="s">
        <v>27</v>
      </c>
      <c r="I450" t="s">
        <v>28</v>
      </c>
      <c r="J450" t="s">
        <v>74</v>
      </c>
      <c r="K450">
        <v>4</v>
      </c>
      <c r="L450" s="2">
        <v>4391.04</v>
      </c>
      <c r="M450" s="2">
        <v>17564.16</v>
      </c>
      <c r="N450" t="s">
        <v>35</v>
      </c>
      <c r="O450" t="s">
        <v>23</v>
      </c>
    </row>
    <row r="451" spans="1:15">
      <c r="A451">
        <v>450</v>
      </c>
      <c r="B451" s="1">
        <v>45688</v>
      </c>
      <c r="C451">
        <v>2025</v>
      </c>
      <c r="D451" t="s">
        <v>52</v>
      </c>
      <c r="E451" t="s">
        <v>114</v>
      </c>
      <c r="F451" t="s">
        <v>26</v>
      </c>
      <c r="G451" t="s">
        <v>33</v>
      </c>
      <c r="H451" t="s">
        <v>90</v>
      </c>
      <c r="I451" t="s">
        <v>28</v>
      </c>
      <c r="J451" t="s">
        <v>74</v>
      </c>
      <c r="K451">
        <v>4</v>
      </c>
      <c r="L451" s="2">
        <v>4682</v>
      </c>
      <c r="M451" s="2">
        <v>18728</v>
      </c>
      <c r="N451" t="s">
        <v>41</v>
      </c>
      <c r="O451" t="s">
        <v>23</v>
      </c>
    </row>
    <row r="452" spans="1:15">
      <c r="A452">
        <v>451</v>
      </c>
      <c r="B452" s="1">
        <v>45943</v>
      </c>
      <c r="C452">
        <v>2025</v>
      </c>
      <c r="D452" t="s">
        <v>65</v>
      </c>
      <c r="E452" t="s">
        <v>112</v>
      </c>
      <c r="F452" t="s">
        <v>79</v>
      </c>
      <c r="G452" t="s">
        <v>18</v>
      </c>
      <c r="H452" t="s">
        <v>45</v>
      </c>
      <c r="I452" t="s">
        <v>39</v>
      </c>
      <c r="J452" t="s">
        <v>40</v>
      </c>
      <c r="K452">
        <v>1</v>
      </c>
      <c r="L452" s="2">
        <v>216.68</v>
      </c>
      <c r="M452" s="2">
        <v>216.68</v>
      </c>
      <c r="N452" t="s">
        <v>30</v>
      </c>
      <c r="O452" t="s">
        <v>70</v>
      </c>
    </row>
    <row r="453" spans="1:15">
      <c r="A453">
        <v>452</v>
      </c>
      <c r="B453" s="1">
        <v>45803</v>
      </c>
      <c r="C453">
        <v>2025</v>
      </c>
      <c r="D453" t="s">
        <v>31</v>
      </c>
      <c r="E453" t="s">
        <v>56</v>
      </c>
      <c r="F453" t="s">
        <v>26</v>
      </c>
      <c r="G453" t="s">
        <v>44</v>
      </c>
      <c r="H453" t="s">
        <v>27</v>
      </c>
      <c r="I453" t="s">
        <v>39</v>
      </c>
      <c r="J453" t="s">
        <v>40</v>
      </c>
      <c r="K453">
        <v>5</v>
      </c>
      <c r="L453" s="2">
        <v>218.67</v>
      </c>
      <c r="M453" s="2">
        <v>1093.3499999999999</v>
      </c>
      <c r="N453" t="s">
        <v>41</v>
      </c>
      <c r="O453" t="s">
        <v>23</v>
      </c>
    </row>
    <row r="454" spans="1:15">
      <c r="A454">
        <v>453</v>
      </c>
      <c r="B454" s="1">
        <v>45732</v>
      </c>
      <c r="C454">
        <v>2025</v>
      </c>
      <c r="D454" t="s">
        <v>81</v>
      </c>
      <c r="E454" t="s">
        <v>87</v>
      </c>
      <c r="F454" t="s">
        <v>26</v>
      </c>
      <c r="G454" t="s">
        <v>44</v>
      </c>
      <c r="H454" t="s">
        <v>19</v>
      </c>
      <c r="I454" t="s">
        <v>28</v>
      </c>
      <c r="J454" t="s">
        <v>74</v>
      </c>
      <c r="K454">
        <v>4</v>
      </c>
      <c r="L454" s="2">
        <v>4569.87</v>
      </c>
      <c r="M454" s="2">
        <v>18279.48</v>
      </c>
      <c r="N454" t="s">
        <v>30</v>
      </c>
      <c r="O454" t="s">
        <v>23</v>
      </c>
    </row>
    <row r="455" spans="1:15">
      <c r="A455">
        <v>454</v>
      </c>
      <c r="B455" s="1">
        <v>45818</v>
      </c>
      <c r="C455">
        <v>2025</v>
      </c>
      <c r="D455" t="s">
        <v>101</v>
      </c>
      <c r="E455" t="s">
        <v>134</v>
      </c>
      <c r="F455" t="s">
        <v>26</v>
      </c>
      <c r="G455" t="s">
        <v>38</v>
      </c>
      <c r="H455" t="s">
        <v>54</v>
      </c>
      <c r="I455" t="s">
        <v>39</v>
      </c>
      <c r="J455" t="s">
        <v>40</v>
      </c>
      <c r="K455">
        <v>3</v>
      </c>
      <c r="L455" s="2">
        <v>221.77</v>
      </c>
      <c r="M455" s="2">
        <v>665.31</v>
      </c>
      <c r="N455" t="s">
        <v>22</v>
      </c>
      <c r="O455" t="s">
        <v>23</v>
      </c>
    </row>
    <row r="456" spans="1:15">
      <c r="A456">
        <v>455</v>
      </c>
      <c r="B456" s="1">
        <v>45752</v>
      </c>
      <c r="C456">
        <v>2025</v>
      </c>
      <c r="D456" t="s">
        <v>86</v>
      </c>
      <c r="E456" t="s">
        <v>56</v>
      </c>
      <c r="F456" t="s">
        <v>17</v>
      </c>
      <c r="G456" t="s">
        <v>44</v>
      </c>
      <c r="H456" t="s">
        <v>45</v>
      </c>
      <c r="I456" t="s">
        <v>20</v>
      </c>
      <c r="J456" t="s">
        <v>34</v>
      </c>
      <c r="K456">
        <v>2</v>
      </c>
      <c r="L456" s="2">
        <v>2241.75</v>
      </c>
      <c r="M456" s="2">
        <v>4483.5</v>
      </c>
      <c r="N456" t="s">
        <v>30</v>
      </c>
      <c r="O456" t="s">
        <v>23</v>
      </c>
    </row>
    <row r="457" spans="1:15">
      <c r="A457">
        <v>456</v>
      </c>
      <c r="B457" s="1">
        <v>45706</v>
      </c>
      <c r="C457">
        <v>2025</v>
      </c>
      <c r="D457" t="s">
        <v>24</v>
      </c>
      <c r="E457" t="s">
        <v>130</v>
      </c>
      <c r="F457" t="s">
        <v>26</v>
      </c>
      <c r="G457" t="s">
        <v>44</v>
      </c>
      <c r="H457" t="s">
        <v>19</v>
      </c>
      <c r="I457" t="s">
        <v>20</v>
      </c>
      <c r="J457" t="s">
        <v>93</v>
      </c>
      <c r="K457">
        <v>5</v>
      </c>
      <c r="L457" s="2">
        <v>945.51</v>
      </c>
      <c r="M457" s="2">
        <v>4727.55</v>
      </c>
      <c r="N457" t="s">
        <v>41</v>
      </c>
      <c r="O457" t="s">
        <v>23</v>
      </c>
    </row>
    <row r="458" spans="1:15">
      <c r="A458">
        <v>457</v>
      </c>
      <c r="B458" s="1">
        <v>45701</v>
      </c>
      <c r="C458">
        <v>2025</v>
      </c>
      <c r="D458" t="s">
        <v>24</v>
      </c>
      <c r="E458" t="s">
        <v>105</v>
      </c>
      <c r="F458" t="s">
        <v>26</v>
      </c>
      <c r="G458" t="s">
        <v>80</v>
      </c>
      <c r="H458" t="s">
        <v>60</v>
      </c>
      <c r="I458" t="s">
        <v>57</v>
      </c>
      <c r="J458" t="s">
        <v>110</v>
      </c>
      <c r="K458">
        <v>2</v>
      </c>
      <c r="L458" s="2">
        <v>1841.44</v>
      </c>
      <c r="M458" s="2">
        <v>3682.88</v>
      </c>
      <c r="N458" t="s">
        <v>30</v>
      </c>
      <c r="O458" t="s">
        <v>23</v>
      </c>
    </row>
    <row r="459" spans="1:15">
      <c r="A459">
        <v>458</v>
      </c>
      <c r="B459" s="1">
        <v>45997</v>
      </c>
      <c r="C459">
        <v>2025</v>
      </c>
      <c r="D459" t="s">
        <v>71</v>
      </c>
      <c r="E459" t="s">
        <v>82</v>
      </c>
      <c r="F459" t="s">
        <v>26</v>
      </c>
      <c r="G459" t="s">
        <v>33</v>
      </c>
      <c r="H459" t="s">
        <v>67</v>
      </c>
      <c r="I459" t="s">
        <v>39</v>
      </c>
      <c r="J459" t="s">
        <v>40</v>
      </c>
      <c r="K459">
        <v>4</v>
      </c>
      <c r="L459" s="2">
        <v>218.14</v>
      </c>
      <c r="M459" s="2">
        <v>872.56</v>
      </c>
      <c r="N459" t="s">
        <v>22</v>
      </c>
      <c r="O459" t="s">
        <v>23</v>
      </c>
    </row>
    <row r="460" spans="1:15">
      <c r="A460">
        <v>459</v>
      </c>
      <c r="B460" s="1">
        <v>46015</v>
      </c>
      <c r="C460">
        <v>2025</v>
      </c>
      <c r="D460" t="s">
        <v>71</v>
      </c>
      <c r="E460" t="s">
        <v>119</v>
      </c>
      <c r="F460" t="s">
        <v>17</v>
      </c>
      <c r="G460" t="s">
        <v>18</v>
      </c>
      <c r="H460" t="s">
        <v>27</v>
      </c>
      <c r="I460" t="s">
        <v>63</v>
      </c>
      <c r="J460" t="s">
        <v>95</v>
      </c>
      <c r="K460">
        <v>5</v>
      </c>
      <c r="L460" s="2">
        <v>2022.41</v>
      </c>
      <c r="M460" s="2">
        <v>10112.049999999999</v>
      </c>
      <c r="N460" t="s">
        <v>41</v>
      </c>
      <c r="O460" t="s">
        <v>42</v>
      </c>
    </row>
    <row r="461" spans="1:15">
      <c r="A461">
        <v>460</v>
      </c>
      <c r="B461" s="1">
        <v>45904</v>
      </c>
      <c r="C461">
        <v>2025</v>
      </c>
      <c r="D461" t="s">
        <v>69</v>
      </c>
      <c r="E461" t="s">
        <v>121</v>
      </c>
      <c r="F461" t="s">
        <v>26</v>
      </c>
      <c r="G461" t="s">
        <v>80</v>
      </c>
      <c r="H461" t="s">
        <v>90</v>
      </c>
      <c r="I461" t="s">
        <v>63</v>
      </c>
      <c r="J461" t="s">
        <v>95</v>
      </c>
      <c r="K461">
        <v>1</v>
      </c>
      <c r="L461" s="2">
        <v>1985.05</v>
      </c>
      <c r="M461" s="2">
        <v>1985.05</v>
      </c>
      <c r="N461" t="s">
        <v>35</v>
      </c>
      <c r="O461" t="s">
        <v>23</v>
      </c>
    </row>
    <row r="462" spans="1:15">
      <c r="A462">
        <v>461</v>
      </c>
      <c r="B462" s="1">
        <v>45727</v>
      </c>
      <c r="C462">
        <v>2025</v>
      </c>
      <c r="D462" t="s">
        <v>81</v>
      </c>
      <c r="E462" t="s">
        <v>103</v>
      </c>
      <c r="F462" t="s">
        <v>79</v>
      </c>
      <c r="G462" t="s">
        <v>38</v>
      </c>
      <c r="H462" t="s">
        <v>90</v>
      </c>
      <c r="I462" t="s">
        <v>39</v>
      </c>
      <c r="J462" t="s">
        <v>40</v>
      </c>
      <c r="K462">
        <v>4</v>
      </c>
      <c r="L462" s="2">
        <v>219.92</v>
      </c>
      <c r="M462" s="2">
        <v>879.68</v>
      </c>
      <c r="N462" t="s">
        <v>35</v>
      </c>
      <c r="O462" t="s">
        <v>23</v>
      </c>
    </row>
    <row r="463" spans="1:15">
      <c r="A463">
        <v>462</v>
      </c>
      <c r="B463" s="1">
        <v>45807</v>
      </c>
      <c r="C463">
        <v>2025</v>
      </c>
      <c r="D463" t="s">
        <v>31</v>
      </c>
      <c r="E463" t="s">
        <v>132</v>
      </c>
      <c r="F463" t="s">
        <v>26</v>
      </c>
      <c r="G463" t="s">
        <v>18</v>
      </c>
      <c r="H463" t="s">
        <v>27</v>
      </c>
      <c r="I463" t="s">
        <v>63</v>
      </c>
      <c r="J463" t="s">
        <v>95</v>
      </c>
      <c r="K463">
        <v>1</v>
      </c>
      <c r="L463" s="2">
        <v>2010.57</v>
      </c>
      <c r="M463" s="2">
        <v>2010.57</v>
      </c>
      <c r="N463" t="s">
        <v>22</v>
      </c>
      <c r="O463" t="s">
        <v>23</v>
      </c>
    </row>
    <row r="464" spans="1:15">
      <c r="A464">
        <v>463</v>
      </c>
      <c r="B464" s="1">
        <v>45988</v>
      </c>
      <c r="C464">
        <v>2025</v>
      </c>
      <c r="D464" t="s">
        <v>15</v>
      </c>
      <c r="E464" t="s">
        <v>77</v>
      </c>
      <c r="F464" t="s">
        <v>17</v>
      </c>
      <c r="G464" t="s">
        <v>18</v>
      </c>
      <c r="H464" t="s">
        <v>49</v>
      </c>
      <c r="I464" t="s">
        <v>57</v>
      </c>
      <c r="J464" t="s">
        <v>113</v>
      </c>
      <c r="K464">
        <v>2</v>
      </c>
      <c r="L464" s="2">
        <v>2233.61</v>
      </c>
      <c r="M464" s="2">
        <v>4467.22</v>
      </c>
      <c r="N464" t="s">
        <v>41</v>
      </c>
      <c r="O464" t="s">
        <v>23</v>
      </c>
    </row>
    <row r="465" spans="1:15">
      <c r="A465">
        <v>464</v>
      </c>
      <c r="B465" s="1">
        <v>45930</v>
      </c>
      <c r="C465">
        <v>2025</v>
      </c>
      <c r="D465" t="s">
        <v>69</v>
      </c>
      <c r="E465" t="s">
        <v>135</v>
      </c>
      <c r="F465" t="s">
        <v>26</v>
      </c>
      <c r="G465" t="s">
        <v>44</v>
      </c>
      <c r="H465" t="s">
        <v>73</v>
      </c>
      <c r="I465" t="s">
        <v>39</v>
      </c>
      <c r="J465" t="s">
        <v>85</v>
      </c>
      <c r="K465">
        <v>2</v>
      </c>
      <c r="L465" s="2">
        <v>290.83</v>
      </c>
      <c r="M465" s="2">
        <v>581.66</v>
      </c>
      <c r="N465" t="s">
        <v>22</v>
      </c>
      <c r="O465" t="s">
        <v>23</v>
      </c>
    </row>
    <row r="466" spans="1:15">
      <c r="A466">
        <v>465</v>
      </c>
      <c r="B466" s="1">
        <v>45976</v>
      </c>
      <c r="C466">
        <v>2025</v>
      </c>
      <c r="D466" t="s">
        <v>15</v>
      </c>
      <c r="E466" t="s">
        <v>117</v>
      </c>
      <c r="F466" t="s">
        <v>79</v>
      </c>
      <c r="G466" t="s">
        <v>44</v>
      </c>
      <c r="H466" t="s">
        <v>60</v>
      </c>
      <c r="I466" t="s">
        <v>57</v>
      </c>
      <c r="J466" t="s">
        <v>58</v>
      </c>
      <c r="K466">
        <v>3</v>
      </c>
      <c r="L466" s="2">
        <v>1224.08</v>
      </c>
      <c r="M466" s="2">
        <v>3672.24</v>
      </c>
      <c r="N466" t="s">
        <v>35</v>
      </c>
      <c r="O466" t="s">
        <v>23</v>
      </c>
    </row>
    <row r="467" spans="1:15">
      <c r="A467">
        <v>466</v>
      </c>
      <c r="B467" s="1">
        <v>45722</v>
      </c>
      <c r="C467">
        <v>2025</v>
      </c>
      <c r="D467" t="s">
        <v>81</v>
      </c>
      <c r="E467" t="s">
        <v>104</v>
      </c>
      <c r="F467" t="s">
        <v>26</v>
      </c>
      <c r="G467" t="s">
        <v>33</v>
      </c>
      <c r="H467" t="s">
        <v>27</v>
      </c>
      <c r="I467" t="s">
        <v>57</v>
      </c>
      <c r="J467" t="s">
        <v>98</v>
      </c>
      <c r="K467">
        <v>2</v>
      </c>
      <c r="L467" s="2">
        <v>854.79</v>
      </c>
      <c r="M467" s="2">
        <v>1709.58</v>
      </c>
      <c r="N467" t="s">
        <v>41</v>
      </c>
      <c r="O467" t="s">
        <v>23</v>
      </c>
    </row>
    <row r="468" spans="1:15">
      <c r="A468">
        <v>467</v>
      </c>
      <c r="B468" s="1">
        <v>45913</v>
      </c>
      <c r="C468">
        <v>2025</v>
      </c>
      <c r="D468" t="s">
        <v>69</v>
      </c>
      <c r="E468" t="s">
        <v>122</v>
      </c>
      <c r="F468" t="s">
        <v>17</v>
      </c>
      <c r="G468" t="s">
        <v>80</v>
      </c>
      <c r="H468" t="s">
        <v>62</v>
      </c>
      <c r="I468" t="s">
        <v>39</v>
      </c>
      <c r="J468" t="s">
        <v>85</v>
      </c>
      <c r="K468">
        <v>1</v>
      </c>
      <c r="L468" s="2">
        <v>273.32</v>
      </c>
      <c r="M468" s="2">
        <v>273.32</v>
      </c>
      <c r="N468" t="s">
        <v>41</v>
      </c>
      <c r="O468" t="s">
        <v>23</v>
      </c>
    </row>
    <row r="469" spans="1:15">
      <c r="A469">
        <v>468</v>
      </c>
      <c r="B469" s="1">
        <v>45694</v>
      </c>
      <c r="C469">
        <v>2025</v>
      </c>
      <c r="D469" t="s">
        <v>24</v>
      </c>
      <c r="E469" t="s">
        <v>122</v>
      </c>
      <c r="F469" t="s">
        <v>26</v>
      </c>
      <c r="G469" t="s">
        <v>38</v>
      </c>
      <c r="H469" t="s">
        <v>62</v>
      </c>
      <c r="I469" t="s">
        <v>63</v>
      </c>
      <c r="J469" t="s">
        <v>109</v>
      </c>
      <c r="K469">
        <v>2</v>
      </c>
      <c r="L469" s="2">
        <v>769.49</v>
      </c>
      <c r="M469" s="2">
        <v>1538.98</v>
      </c>
      <c r="N469" t="s">
        <v>35</v>
      </c>
      <c r="O469" t="s">
        <v>70</v>
      </c>
    </row>
    <row r="470" spans="1:15">
      <c r="A470">
        <v>469</v>
      </c>
      <c r="B470" s="1">
        <v>45785</v>
      </c>
      <c r="C470">
        <v>2025</v>
      </c>
      <c r="D470" t="s">
        <v>31</v>
      </c>
      <c r="E470" t="s">
        <v>106</v>
      </c>
      <c r="F470" t="s">
        <v>26</v>
      </c>
      <c r="G470" t="s">
        <v>44</v>
      </c>
      <c r="H470" t="s">
        <v>67</v>
      </c>
      <c r="I470" t="s">
        <v>57</v>
      </c>
      <c r="J470" t="s">
        <v>113</v>
      </c>
      <c r="K470">
        <v>2</v>
      </c>
      <c r="L470" s="2">
        <v>2364.5500000000002</v>
      </c>
      <c r="M470" s="2">
        <v>4729.1000000000004</v>
      </c>
      <c r="N470" t="s">
        <v>30</v>
      </c>
      <c r="O470" t="s">
        <v>23</v>
      </c>
    </row>
    <row r="471" spans="1:15">
      <c r="A471">
        <v>470</v>
      </c>
      <c r="B471" s="1">
        <v>46006</v>
      </c>
      <c r="C471">
        <v>2025</v>
      </c>
      <c r="D471" t="s">
        <v>71</v>
      </c>
      <c r="E471" t="s">
        <v>106</v>
      </c>
      <c r="F471" t="s">
        <v>17</v>
      </c>
      <c r="G471" t="s">
        <v>18</v>
      </c>
      <c r="H471" t="s">
        <v>67</v>
      </c>
      <c r="I471" t="s">
        <v>39</v>
      </c>
      <c r="J471" t="s">
        <v>40</v>
      </c>
      <c r="K471">
        <v>2</v>
      </c>
      <c r="L471" s="2">
        <v>222.39</v>
      </c>
      <c r="M471" s="2">
        <v>444.78</v>
      </c>
      <c r="N471" t="s">
        <v>35</v>
      </c>
      <c r="O471" t="s">
        <v>23</v>
      </c>
    </row>
    <row r="472" spans="1:15">
      <c r="A472">
        <v>471</v>
      </c>
      <c r="B472" s="1">
        <v>45984</v>
      </c>
      <c r="C472">
        <v>2025</v>
      </c>
      <c r="D472" t="s">
        <v>15</v>
      </c>
      <c r="E472" t="s">
        <v>82</v>
      </c>
      <c r="F472" t="s">
        <v>17</v>
      </c>
      <c r="G472" t="s">
        <v>44</v>
      </c>
      <c r="H472" t="s">
        <v>45</v>
      </c>
      <c r="I472" t="s">
        <v>39</v>
      </c>
      <c r="J472" t="s">
        <v>46</v>
      </c>
      <c r="K472">
        <v>3</v>
      </c>
      <c r="L472" s="2">
        <v>365.23</v>
      </c>
      <c r="M472" s="2">
        <v>1095.69</v>
      </c>
      <c r="N472" t="s">
        <v>22</v>
      </c>
      <c r="O472" t="s">
        <v>23</v>
      </c>
    </row>
    <row r="473" spans="1:15">
      <c r="A473">
        <v>472</v>
      </c>
      <c r="B473" s="1">
        <v>45743</v>
      </c>
      <c r="C473">
        <v>2025</v>
      </c>
      <c r="D473" t="s">
        <v>81</v>
      </c>
      <c r="E473" t="s">
        <v>104</v>
      </c>
      <c r="F473" t="s">
        <v>79</v>
      </c>
      <c r="G473" t="s">
        <v>18</v>
      </c>
      <c r="H473" t="s">
        <v>73</v>
      </c>
      <c r="I473" t="s">
        <v>39</v>
      </c>
      <c r="J473" t="s">
        <v>76</v>
      </c>
      <c r="K473">
        <v>4</v>
      </c>
      <c r="L473" s="2">
        <v>133.47999999999999</v>
      </c>
      <c r="M473" s="2">
        <v>533.91999999999996</v>
      </c>
      <c r="N473" t="s">
        <v>30</v>
      </c>
      <c r="O473" t="s">
        <v>23</v>
      </c>
    </row>
    <row r="474" spans="1:15">
      <c r="A474">
        <v>473</v>
      </c>
      <c r="B474" s="1">
        <v>45703</v>
      </c>
      <c r="C474">
        <v>2025</v>
      </c>
      <c r="D474" t="s">
        <v>24</v>
      </c>
      <c r="E474" t="s">
        <v>126</v>
      </c>
      <c r="F474" t="s">
        <v>26</v>
      </c>
      <c r="G474" t="s">
        <v>44</v>
      </c>
      <c r="H474" t="s">
        <v>62</v>
      </c>
      <c r="I474" t="s">
        <v>28</v>
      </c>
      <c r="J474" t="s">
        <v>29</v>
      </c>
      <c r="K474">
        <v>4</v>
      </c>
      <c r="L474" s="2">
        <v>5039.18</v>
      </c>
      <c r="M474" s="2">
        <v>20156.72</v>
      </c>
      <c r="N474" t="s">
        <v>41</v>
      </c>
      <c r="O474" t="s">
        <v>23</v>
      </c>
    </row>
    <row r="475" spans="1:15">
      <c r="A475">
        <v>474</v>
      </c>
      <c r="B475" s="1">
        <v>46017</v>
      </c>
      <c r="C475">
        <v>2025</v>
      </c>
      <c r="D475" t="s">
        <v>71</v>
      </c>
      <c r="E475" t="s">
        <v>116</v>
      </c>
      <c r="F475" t="s">
        <v>79</v>
      </c>
      <c r="G475" t="s">
        <v>33</v>
      </c>
      <c r="H475" t="s">
        <v>73</v>
      </c>
      <c r="I475" t="s">
        <v>63</v>
      </c>
      <c r="J475" t="s">
        <v>64</v>
      </c>
      <c r="K475">
        <v>2</v>
      </c>
      <c r="L475" s="2">
        <v>1197.25</v>
      </c>
      <c r="M475" s="2">
        <v>2394.5</v>
      </c>
      <c r="N475" t="s">
        <v>30</v>
      </c>
      <c r="O475" t="s">
        <v>23</v>
      </c>
    </row>
    <row r="476" spans="1:15">
      <c r="A476">
        <v>475</v>
      </c>
      <c r="B476" s="1">
        <v>45851</v>
      </c>
      <c r="C476">
        <v>2025</v>
      </c>
      <c r="D476" t="s">
        <v>36</v>
      </c>
      <c r="E476" t="s">
        <v>83</v>
      </c>
      <c r="F476" t="s">
        <v>17</v>
      </c>
      <c r="G476" t="s">
        <v>18</v>
      </c>
      <c r="H476" t="s">
        <v>90</v>
      </c>
      <c r="I476" t="s">
        <v>39</v>
      </c>
      <c r="J476" t="s">
        <v>46</v>
      </c>
      <c r="K476">
        <v>3</v>
      </c>
      <c r="L476" s="2">
        <v>365.7</v>
      </c>
      <c r="M476" s="2">
        <v>1097.0999999999999</v>
      </c>
      <c r="N476" t="s">
        <v>22</v>
      </c>
      <c r="O476" t="s">
        <v>23</v>
      </c>
    </row>
    <row r="477" spans="1:15">
      <c r="A477">
        <v>476</v>
      </c>
      <c r="B477" s="1">
        <v>45753</v>
      </c>
      <c r="C477">
        <v>2025</v>
      </c>
      <c r="D477" t="s">
        <v>86</v>
      </c>
      <c r="E477" t="s">
        <v>99</v>
      </c>
      <c r="F477" t="s">
        <v>79</v>
      </c>
      <c r="G477" t="s">
        <v>18</v>
      </c>
      <c r="H477" t="s">
        <v>67</v>
      </c>
      <c r="I477" t="s">
        <v>63</v>
      </c>
      <c r="J477" t="s">
        <v>89</v>
      </c>
      <c r="K477">
        <v>3</v>
      </c>
      <c r="L477" s="2">
        <v>3288.21</v>
      </c>
      <c r="M477" s="2">
        <v>9864.6299999999992</v>
      </c>
      <c r="N477" t="s">
        <v>30</v>
      </c>
      <c r="O477" t="s">
        <v>23</v>
      </c>
    </row>
    <row r="478" spans="1:15">
      <c r="A478">
        <v>477</v>
      </c>
      <c r="B478" s="1">
        <v>45737</v>
      </c>
      <c r="C478">
        <v>2025</v>
      </c>
      <c r="D478" t="s">
        <v>81</v>
      </c>
      <c r="E478" t="s">
        <v>61</v>
      </c>
      <c r="F478" t="s">
        <v>26</v>
      </c>
      <c r="G478" t="s">
        <v>18</v>
      </c>
      <c r="H478" t="s">
        <v>27</v>
      </c>
      <c r="I478" t="s">
        <v>57</v>
      </c>
      <c r="J478" t="s">
        <v>110</v>
      </c>
      <c r="K478">
        <v>3</v>
      </c>
      <c r="L478" s="2">
        <v>1908.48</v>
      </c>
      <c r="M478" s="2">
        <v>5725.44</v>
      </c>
      <c r="N478" t="s">
        <v>30</v>
      </c>
      <c r="O478" t="s">
        <v>42</v>
      </c>
    </row>
    <row r="479" spans="1:15">
      <c r="A479">
        <v>478</v>
      </c>
      <c r="B479" s="1">
        <v>45975</v>
      </c>
      <c r="C479">
        <v>2025</v>
      </c>
      <c r="D479" t="s">
        <v>15</v>
      </c>
      <c r="E479" t="s">
        <v>48</v>
      </c>
      <c r="F479" t="s">
        <v>79</v>
      </c>
      <c r="G479" t="s">
        <v>38</v>
      </c>
      <c r="H479" t="s">
        <v>45</v>
      </c>
      <c r="I479" t="s">
        <v>39</v>
      </c>
      <c r="J479" t="s">
        <v>46</v>
      </c>
      <c r="K479">
        <v>3</v>
      </c>
      <c r="L479" s="2">
        <v>358.26</v>
      </c>
      <c r="M479" s="2">
        <v>1074.78</v>
      </c>
      <c r="N479" t="s">
        <v>22</v>
      </c>
      <c r="O479" t="s">
        <v>23</v>
      </c>
    </row>
    <row r="480" spans="1:15">
      <c r="A480">
        <v>479</v>
      </c>
      <c r="B480" s="1">
        <v>45736</v>
      </c>
      <c r="C480">
        <v>2025</v>
      </c>
      <c r="D480" t="s">
        <v>81</v>
      </c>
      <c r="E480" t="s">
        <v>116</v>
      </c>
      <c r="F480" t="s">
        <v>26</v>
      </c>
      <c r="G480" t="s">
        <v>18</v>
      </c>
      <c r="H480" t="s">
        <v>19</v>
      </c>
      <c r="I480" t="s">
        <v>63</v>
      </c>
      <c r="J480" t="s">
        <v>89</v>
      </c>
      <c r="K480">
        <v>3</v>
      </c>
      <c r="L480" s="2">
        <v>3164.38</v>
      </c>
      <c r="M480" s="2">
        <v>9493.14</v>
      </c>
      <c r="N480" t="s">
        <v>35</v>
      </c>
      <c r="O480" t="s">
        <v>42</v>
      </c>
    </row>
    <row r="481" spans="1:15">
      <c r="A481">
        <v>480</v>
      </c>
      <c r="B481" s="1">
        <v>45724</v>
      </c>
      <c r="C481">
        <v>2025</v>
      </c>
      <c r="D481" t="s">
        <v>81</v>
      </c>
      <c r="E481" t="s">
        <v>132</v>
      </c>
      <c r="F481" t="s">
        <v>26</v>
      </c>
      <c r="G481" t="s">
        <v>18</v>
      </c>
      <c r="H481" t="s">
        <v>27</v>
      </c>
      <c r="I481" t="s">
        <v>28</v>
      </c>
      <c r="J481" t="s">
        <v>55</v>
      </c>
      <c r="K481">
        <v>2</v>
      </c>
      <c r="L481" s="2">
        <v>3334.01</v>
      </c>
      <c r="M481" s="2">
        <v>6668.02</v>
      </c>
      <c r="N481" t="s">
        <v>22</v>
      </c>
      <c r="O481" t="s">
        <v>23</v>
      </c>
    </row>
    <row r="482" spans="1:15">
      <c r="A482">
        <v>481</v>
      </c>
      <c r="B482" s="1">
        <v>46017</v>
      </c>
      <c r="C482">
        <v>2025</v>
      </c>
      <c r="D482" t="s">
        <v>71</v>
      </c>
      <c r="E482" t="s">
        <v>133</v>
      </c>
      <c r="F482" t="s">
        <v>17</v>
      </c>
      <c r="G482" t="s">
        <v>44</v>
      </c>
      <c r="H482" t="s">
        <v>45</v>
      </c>
      <c r="I482" t="s">
        <v>63</v>
      </c>
      <c r="J482" t="s">
        <v>89</v>
      </c>
      <c r="K482">
        <v>1</v>
      </c>
      <c r="L482" s="2">
        <v>3147.7</v>
      </c>
      <c r="M482" s="2">
        <v>3147.7</v>
      </c>
      <c r="N482" t="s">
        <v>22</v>
      </c>
      <c r="O482" t="s">
        <v>70</v>
      </c>
    </row>
    <row r="483" spans="1:15">
      <c r="A483">
        <v>482</v>
      </c>
      <c r="B483" s="1">
        <v>45698</v>
      </c>
      <c r="C483">
        <v>2025</v>
      </c>
      <c r="D483" t="s">
        <v>24</v>
      </c>
      <c r="E483" t="s">
        <v>68</v>
      </c>
      <c r="F483" t="s">
        <v>26</v>
      </c>
      <c r="G483" t="s">
        <v>33</v>
      </c>
      <c r="H483" t="s">
        <v>62</v>
      </c>
      <c r="I483" t="s">
        <v>57</v>
      </c>
      <c r="J483" t="s">
        <v>98</v>
      </c>
      <c r="K483">
        <v>3</v>
      </c>
      <c r="L483" s="2">
        <v>905.26</v>
      </c>
      <c r="M483" s="2">
        <v>2715.78</v>
      </c>
      <c r="N483" t="s">
        <v>41</v>
      </c>
      <c r="O483" t="s">
        <v>23</v>
      </c>
    </row>
    <row r="484" spans="1:15">
      <c r="A484">
        <v>483</v>
      </c>
      <c r="B484" s="1">
        <v>45694</v>
      </c>
      <c r="C484">
        <v>2025</v>
      </c>
      <c r="D484" t="s">
        <v>24</v>
      </c>
      <c r="E484" t="s">
        <v>114</v>
      </c>
      <c r="F484" t="s">
        <v>26</v>
      </c>
      <c r="G484" t="s">
        <v>80</v>
      </c>
      <c r="H484" t="s">
        <v>67</v>
      </c>
      <c r="I484" t="s">
        <v>39</v>
      </c>
      <c r="J484" t="s">
        <v>76</v>
      </c>
      <c r="K484">
        <v>2</v>
      </c>
      <c r="L484" s="2">
        <v>136.13</v>
      </c>
      <c r="M484" s="2">
        <v>272.26</v>
      </c>
      <c r="N484" t="s">
        <v>22</v>
      </c>
      <c r="O484" t="s">
        <v>23</v>
      </c>
    </row>
    <row r="485" spans="1:15">
      <c r="A485">
        <v>484</v>
      </c>
      <c r="B485" s="1">
        <v>45927</v>
      </c>
      <c r="C485">
        <v>2025</v>
      </c>
      <c r="D485" t="s">
        <v>69</v>
      </c>
      <c r="E485" t="s">
        <v>96</v>
      </c>
      <c r="F485" t="s">
        <v>17</v>
      </c>
      <c r="G485" t="s">
        <v>18</v>
      </c>
      <c r="H485" t="s">
        <v>54</v>
      </c>
      <c r="I485" t="s">
        <v>28</v>
      </c>
      <c r="J485" t="s">
        <v>29</v>
      </c>
      <c r="K485">
        <v>5</v>
      </c>
      <c r="L485" s="2">
        <v>5457.46</v>
      </c>
      <c r="M485" s="2">
        <v>27287.3</v>
      </c>
      <c r="N485" t="s">
        <v>22</v>
      </c>
      <c r="O485" t="s">
        <v>23</v>
      </c>
    </row>
    <row r="486" spans="1:15">
      <c r="A486">
        <v>485</v>
      </c>
      <c r="B486" s="1">
        <v>45876</v>
      </c>
      <c r="C486">
        <v>2025</v>
      </c>
      <c r="D486" t="s">
        <v>47</v>
      </c>
      <c r="E486" t="s">
        <v>136</v>
      </c>
      <c r="F486" t="s">
        <v>26</v>
      </c>
      <c r="G486" t="s">
        <v>80</v>
      </c>
      <c r="H486" t="s">
        <v>67</v>
      </c>
      <c r="I486" t="s">
        <v>20</v>
      </c>
      <c r="J486" t="s">
        <v>34</v>
      </c>
      <c r="K486">
        <v>2</v>
      </c>
      <c r="L486" s="2">
        <v>2212.1799999999998</v>
      </c>
      <c r="M486" s="2">
        <v>4424.3599999999997</v>
      </c>
      <c r="N486" t="s">
        <v>22</v>
      </c>
      <c r="O486" t="s">
        <v>70</v>
      </c>
    </row>
    <row r="487" spans="1:15">
      <c r="A487">
        <v>486</v>
      </c>
      <c r="B487" s="1">
        <v>45819</v>
      </c>
      <c r="C487">
        <v>2025</v>
      </c>
      <c r="D487" t="s">
        <v>101</v>
      </c>
      <c r="E487" t="s">
        <v>119</v>
      </c>
      <c r="F487" t="s">
        <v>26</v>
      </c>
      <c r="G487" t="s">
        <v>33</v>
      </c>
      <c r="H487" t="s">
        <v>49</v>
      </c>
      <c r="I487" t="s">
        <v>63</v>
      </c>
      <c r="J487" t="s">
        <v>89</v>
      </c>
      <c r="K487">
        <v>3</v>
      </c>
      <c r="L487" s="2">
        <v>3165.35</v>
      </c>
      <c r="M487" s="2">
        <v>9496.0499999999993</v>
      </c>
      <c r="N487" t="s">
        <v>30</v>
      </c>
      <c r="O487" t="s">
        <v>23</v>
      </c>
    </row>
    <row r="488" spans="1:15">
      <c r="A488">
        <v>487</v>
      </c>
      <c r="B488" s="1">
        <v>45767</v>
      </c>
      <c r="C488">
        <v>2025</v>
      </c>
      <c r="D488" t="s">
        <v>86</v>
      </c>
      <c r="E488" t="s">
        <v>129</v>
      </c>
      <c r="F488" t="s">
        <v>79</v>
      </c>
      <c r="G488" t="s">
        <v>44</v>
      </c>
      <c r="H488" t="s">
        <v>62</v>
      </c>
      <c r="I488" t="s">
        <v>57</v>
      </c>
      <c r="J488" t="s">
        <v>110</v>
      </c>
      <c r="K488">
        <v>3</v>
      </c>
      <c r="L488" s="2">
        <v>2004.2</v>
      </c>
      <c r="M488" s="2">
        <v>6012.6</v>
      </c>
      <c r="N488" t="s">
        <v>41</v>
      </c>
      <c r="O488" t="s">
        <v>23</v>
      </c>
    </row>
    <row r="489" spans="1:15">
      <c r="A489">
        <v>488</v>
      </c>
      <c r="B489" s="1">
        <v>45923</v>
      </c>
      <c r="C489">
        <v>2025</v>
      </c>
      <c r="D489" t="s">
        <v>69</v>
      </c>
      <c r="E489" t="s">
        <v>43</v>
      </c>
      <c r="F489" t="s">
        <v>26</v>
      </c>
      <c r="G489" t="s">
        <v>33</v>
      </c>
      <c r="H489" t="s">
        <v>62</v>
      </c>
      <c r="I489" t="s">
        <v>28</v>
      </c>
      <c r="J489" t="s">
        <v>74</v>
      </c>
      <c r="K489">
        <v>1</v>
      </c>
      <c r="L489" s="2">
        <v>4391.2</v>
      </c>
      <c r="M489" s="2">
        <v>4391.2</v>
      </c>
      <c r="N489" t="s">
        <v>41</v>
      </c>
      <c r="O489" t="s">
        <v>42</v>
      </c>
    </row>
    <row r="490" spans="1:15">
      <c r="A490">
        <v>489</v>
      </c>
      <c r="B490" s="1">
        <v>45919</v>
      </c>
      <c r="C490">
        <v>2025</v>
      </c>
      <c r="D490" t="s">
        <v>69</v>
      </c>
      <c r="E490" t="s">
        <v>112</v>
      </c>
      <c r="F490" t="s">
        <v>26</v>
      </c>
      <c r="G490" t="s">
        <v>33</v>
      </c>
      <c r="H490" t="s">
        <v>54</v>
      </c>
      <c r="I490" t="s">
        <v>63</v>
      </c>
      <c r="J490" t="s">
        <v>95</v>
      </c>
      <c r="K490">
        <v>1</v>
      </c>
      <c r="L490" s="2">
        <v>1888.11</v>
      </c>
      <c r="M490" s="2">
        <v>1888.11</v>
      </c>
      <c r="N490" t="s">
        <v>30</v>
      </c>
      <c r="O490" t="s">
        <v>23</v>
      </c>
    </row>
    <row r="491" spans="1:15">
      <c r="A491">
        <v>490</v>
      </c>
      <c r="B491" s="1">
        <v>45811</v>
      </c>
      <c r="C491">
        <v>2025</v>
      </c>
      <c r="D491" t="s">
        <v>101</v>
      </c>
      <c r="E491" t="s">
        <v>84</v>
      </c>
      <c r="F491" t="s">
        <v>26</v>
      </c>
      <c r="G491" t="s">
        <v>33</v>
      </c>
      <c r="H491" t="s">
        <v>73</v>
      </c>
      <c r="I491" t="s">
        <v>20</v>
      </c>
      <c r="J491" t="s">
        <v>93</v>
      </c>
      <c r="K491">
        <v>5</v>
      </c>
      <c r="L491" s="2">
        <v>1049.0999999999999</v>
      </c>
      <c r="M491" s="2">
        <v>5245.5</v>
      </c>
      <c r="N491" t="s">
        <v>30</v>
      </c>
      <c r="O491" t="s">
        <v>23</v>
      </c>
    </row>
    <row r="492" spans="1:15">
      <c r="A492">
        <v>491</v>
      </c>
      <c r="B492" s="1">
        <v>46011</v>
      </c>
      <c r="C492">
        <v>2025</v>
      </c>
      <c r="D492" t="s">
        <v>71</v>
      </c>
      <c r="E492" t="s">
        <v>106</v>
      </c>
      <c r="F492" t="s">
        <v>17</v>
      </c>
      <c r="G492" t="s">
        <v>18</v>
      </c>
      <c r="H492" t="s">
        <v>27</v>
      </c>
      <c r="I492" t="s">
        <v>63</v>
      </c>
      <c r="J492" t="s">
        <v>64</v>
      </c>
      <c r="K492">
        <v>5</v>
      </c>
      <c r="L492" s="2">
        <v>1219.47</v>
      </c>
      <c r="M492" s="2">
        <v>6097.35</v>
      </c>
      <c r="N492" t="s">
        <v>35</v>
      </c>
      <c r="O492" t="s">
        <v>23</v>
      </c>
    </row>
    <row r="493" spans="1:15">
      <c r="A493">
        <v>492</v>
      </c>
      <c r="B493" s="1">
        <v>45829</v>
      </c>
      <c r="C493">
        <v>2025</v>
      </c>
      <c r="D493" t="s">
        <v>101</v>
      </c>
      <c r="E493" t="s">
        <v>102</v>
      </c>
      <c r="F493" t="s">
        <v>79</v>
      </c>
      <c r="G493" t="s">
        <v>80</v>
      </c>
      <c r="H493" t="s">
        <v>49</v>
      </c>
      <c r="I493" t="s">
        <v>39</v>
      </c>
      <c r="J493" t="s">
        <v>85</v>
      </c>
      <c r="K493">
        <v>4</v>
      </c>
      <c r="L493" s="2">
        <v>293.39999999999998</v>
      </c>
      <c r="M493" s="2">
        <v>1173.5999999999999</v>
      </c>
      <c r="N493" t="s">
        <v>35</v>
      </c>
      <c r="O493" t="s">
        <v>23</v>
      </c>
    </row>
    <row r="494" spans="1:15">
      <c r="A494">
        <v>493</v>
      </c>
      <c r="B494" s="1">
        <v>45981</v>
      </c>
      <c r="C494">
        <v>2025</v>
      </c>
      <c r="D494" t="s">
        <v>15</v>
      </c>
      <c r="E494" t="s">
        <v>116</v>
      </c>
      <c r="F494" t="s">
        <v>26</v>
      </c>
      <c r="G494" t="s">
        <v>80</v>
      </c>
      <c r="H494" t="s">
        <v>54</v>
      </c>
      <c r="I494" t="s">
        <v>57</v>
      </c>
      <c r="J494" t="s">
        <v>98</v>
      </c>
      <c r="K494">
        <v>3</v>
      </c>
      <c r="L494" s="2">
        <v>901.63</v>
      </c>
      <c r="M494" s="2">
        <v>2704.89</v>
      </c>
      <c r="N494" t="s">
        <v>30</v>
      </c>
      <c r="O494" t="s">
        <v>23</v>
      </c>
    </row>
    <row r="495" spans="1:15">
      <c r="A495">
        <v>494</v>
      </c>
      <c r="B495" s="1">
        <v>46002</v>
      </c>
      <c r="C495">
        <v>2025</v>
      </c>
      <c r="D495" t="s">
        <v>71</v>
      </c>
      <c r="E495" t="s">
        <v>59</v>
      </c>
      <c r="F495" t="s">
        <v>26</v>
      </c>
      <c r="G495" t="s">
        <v>33</v>
      </c>
      <c r="H495" t="s">
        <v>27</v>
      </c>
      <c r="I495" t="s">
        <v>57</v>
      </c>
      <c r="J495" t="s">
        <v>113</v>
      </c>
      <c r="K495">
        <v>5</v>
      </c>
      <c r="L495" s="2">
        <v>2319.7600000000002</v>
      </c>
      <c r="M495" s="2">
        <v>11598.8</v>
      </c>
      <c r="N495" t="s">
        <v>30</v>
      </c>
      <c r="O495" t="s">
        <v>23</v>
      </c>
    </row>
    <row r="496" spans="1:15">
      <c r="A496">
        <v>495</v>
      </c>
      <c r="B496" s="1">
        <v>45700</v>
      </c>
      <c r="C496">
        <v>2025</v>
      </c>
      <c r="D496" t="s">
        <v>24</v>
      </c>
      <c r="E496" t="s">
        <v>59</v>
      </c>
      <c r="F496" t="s">
        <v>26</v>
      </c>
      <c r="G496" t="s">
        <v>38</v>
      </c>
      <c r="H496" t="s">
        <v>60</v>
      </c>
      <c r="I496" t="s">
        <v>57</v>
      </c>
      <c r="J496" t="s">
        <v>98</v>
      </c>
      <c r="K496">
        <v>5</v>
      </c>
      <c r="L496" s="2">
        <v>888.12</v>
      </c>
      <c r="M496" s="2">
        <v>4440.6000000000004</v>
      </c>
      <c r="N496" t="s">
        <v>30</v>
      </c>
      <c r="O496" t="s">
        <v>23</v>
      </c>
    </row>
    <row r="497" spans="1:15">
      <c r="A497">
        <v>496</v>
      </c>
      <c r="B497" s="1">
        <v>45759</v>
      </c>
      <c r="C497">
        <v>2025</v>
      </c>
      <c r="D497" t="s">
        <v>86</v>
      </c>
      <c r="E497" t="s">
        <v>126</v>
      </c>
      <c r="F497" t="s">
        <v>79</v>
      </c>
      <c r="G497" t="s">
        <v>18</v>
      </c>
      <c r="H497" t="s">
        <v>45</v>
      </c>
      <c r="I497" t="s">
        <v>57</v>
      </c>
      <c r="J497" t="s">
        <v>113</v>
      </c>
      <c r="K497">
        <v>5</v>
      </c>
      <c r="L497" s="2">
        <v>2215.16</v>
      </c>
      <c r="M497" s="2">
        <v>11075.8</v>
      </c>
      <c r="N497" t="s">
        <v>30</v>
      </c>
      <c r="O497" t="s">
        <v>23</v>
      </c>
    </row>
    <row r="498" spans="1:15">
      <c r="A498">
        <v>497</v>
      </c>
      <c r="B498" s="1">
        <v>45878</v>
      </c>
      <c r="C498">
        <v>2025</v>
      </c>
      <c r="D498" t="s">
        <v>47</v>
      </c>
      <c r="E498" t="s">
        <v>77</v>
      </c>
      <c r="F498" t="s">
        <v>26</v>
      </c>
      <c r="G498" t="s">
        <v>80</v>
      </c>
      <c r="H498" t="s">
        <v>54</v>
      </c>
      <c r="I498" t="s">
        <v>39</v>
      </c>
      <c r="J498" t="s">
        <v>76</v>
      </c>
      <c r="K498">
        <v>1</v>
      </c>
      <c r="L498" s="2">
        <v>131.66</v>
      </c>
      <c r="M498" s="2">
        <v>131.66</v>
      </c>
      <c r="N498" t="s">
        <v>41</v>
      </c>
      <c r="O498" t="s">
        <v>23</v>
      </c>
    </row>
    <row r="499" spans="1:15">
      <c r="A499">
        <v>498</v>
      </c>
      <c r="B499" s="1">
        <v>45670</v>
      </c>
      <c r="C499">
        <v>2025</v>
      </c>
      <c r="D499" t="s">
        <v>52</v>
      </c>
      <c r="E499" t="s">
        <v>78</v>
      </c>
      <c r="F499" t="s">
        <v>26</v>
      </c>
      <c r="G499" t="s">
        <v>80</v>
      </c>
      <c r="H499" t="s">
        <v>73</v>
      </c>
      <c r="I499" t="s">
        <v>39</v>
      </c>
      <c r="J499" t="s">
        <v>46</v>
      </c>
      <c r="K499">
        <v>3</v>
      </c>
      <c r="L499" s="2">
        <v>353.87</v>
      </c>
      <c r="M499" s="2">
        <v>1061.6099999999999</v>
      </c>
      <c r="N499" t="s">
        <v>35</v>
      </c>
      <c r="O499" t="s">
        <v>70</v>
      </c>
    </row>
    <row r="500" spans="1:15">
      <c r="A500">
        <v>499</v>
      </c>
      <c r="B500" s="1">
        <v>45777</v>
      </c>
      <c r="C500">
        <v>2025</v>
      </c>
      <c r="D500" t="s">
        <v>86</v>
      </c>
      <c r="E500" t="s">
        <v>124</v>
      </c>
      <c r="F500" t="s">
        <v>26</v>
      </c>
      <c r="G500" t="s">
        <v>44</v>
      </c>
      <c r="H500" t="s">
        <v>45</v>
      </c>
      <c r="I500" t="s">
        <v>28</v>
      </c>
      <c r="J500" t="s">
        <v>74</v>
      </c>
      <c r="K500">
        <v>2</v>
      </c>
      <c r="L500" s="2">
        <v>4638.1499999999996</v>
      </c>
      <c r="M500" s="2">
        <v>9276.2999999999993</v>
      </c>
      <c r="N500" t="s">
        <v>30</v>
      </c>
      <c r="O500" t="s">
        <v>42</v>
      </c>
    </row>
    <row r="501" spans="1:15">
      <c r="A501">
        <v>500</v>
      </c>
      <c r="B501" s="1">
        <v>45805</v>
      </c>
      <c r="C501">
        <v>2025</v>
      </c>
      <c r="D501" t="s">
        <v>31</v>
      </c>
      <c r="E501" t="s">
        <v>118</v>
      </c>
      <c r="F501" t="s">
        <v>26</v>
      </c>
      <c r="G501" t="s">
        <v>80</v>
      </c>
      <c r="H501" t="s">
        <v>67</v>
      </c>
      <c r="I501" t="s">
        <v>20</v>
      </c>
      <c r="J501" t="s">
        <v>97</v>
      </c>
      <c r="K501">
        <v>1</v>
      </c>
      <c r="L501" s="2">
        <v>2928.87</v>
      </c>
      <c r="M501" s="2">
        <v>2928.87</v>
      </c>
      <c r="N501" t="s">
        <v>30</v>
      </c>
      <c r="O501" t="s">
        <v>23</v>
      </c>
    </row>
  </sheetData>
  <conditionalFormatting sqref="M2:M501">
    <cfRule type="dataBar" priority="1">
      <dataBar>
        <cfvo type="min"/>
        <cfvo type="max"/>
        <color rgb="FF0078D4"/>
      </dataBar>
    </cfRule>
  </conditionalFormatting>
  <conditionalFormatting sqref="M2:M501">
    <cfRule type="dataBar" priority="2">
      <dataBar>
        <cfvo type="min"/>
        <cfvo type="max"/>
        <color rgb="FF0078D4"/>
      </dataBar>
      <extLst>
        <ext xmlns:x14="http://schemas.microsoft.com/office/spreadsheetml/2009/9/main" uri="{B025F937-C7B1-47D3-B67F-A62EFF666E3E}">
          <x14:id>{91EB7349-280D-4752-8DB9-E527BE4EC323}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EB7349-280D-4752-8DB9-E527BE4EC323}">
            <x14:dataBar>
              <x14:cfvo type="min"/>
              <x14:cfvo type="max"/>
              <x14:negativeFillColor auto="1"/>
              <x14:axisColor auto="1"/>
            </x14:dataBar>
          </x14:cfRule>
          <xm:sqref>M2:M501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8"/>
  <sheetViews>
    <sheetView tabSelected="1" topLeftCell="A13" workbookViewId="0">
      <selection activeCell="A5" sqref="A5:B5"/>
    </sheetView>
  </sheetViews>
  <sheetFormatPr defaultRowHeight="13.8"/>
  <cols>
    <col min="1" max="12" width="12" customWidth="1"/>
  </cols>
  <sheetData>
    <row r="1" spans="1:12">
      <c r="A1" s="7" t="s">
        <v>137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4" spans="1:12">
      <c r="A4" s="9" t="s">
        <v>6</v>
      </c>
      <c r="B4" s="9"/>
      <c r="C4" s="9" t="s">
        <v>5</v>
      </c>
      <c r="D4" s="9"/>
      <c r="E4" s="9" t="s">
        <v>7</v>
      </c>
      <c r="F4" s="9"/>
      <c r="G4" s="9" t="s">
        <v>8</v>
      </c>
      <c r="H4" s="9"/>
      <c r="I4" s="9" t="s">
        <v>14</v>
      </c>
      <c r="J4" s="9"/>
      <c r="K4" s="9" t="s">
        <v>138</v>
      </c>
      <c r="L4" s="9"/>
    </row>
    <row r="5" spans="1:12">
      <c r="A5" s="10" t="s">
        <v>139</v>
      </c>
      <c r="B5" s="11"/>
      <c r="C5" s="11" t="s">
        <v>139</v>
      </c>
      <c r="D5" s="11"/>
      <c r="E5" s="11" t="s">
        <v>139</v>
      </c>
      <c r="F5" s="11"/>
      <c r="G5" s="11" t="s">
        <v>139</v>
      </c>
      <c r="H5" s="11"/>
      <c r="I5" s="11" t="s">
        <v>139</v>
      </c>
      <c r="J5" s="11"/>
      <c r="K5" s="11" t="s">
        <v>139</v>
      </c>
      <c r="L5" s="12"/>
    </row>
    <row r="7" spans="1:12">
      <c r="A7" s="13" t="s">
        <v>140</v>
      </c>
      <c r="B7" s="13"/>
      <c r="C7" s="13"/>
      <c r="D7" s="13" t="s">
        <v>141</v>
      </c>
      <c r="E7" s="13"/>
      <c r="F7" s="13"/>
      <c r="G7" s="13" t="s">
        <v>142</v>
      </c>
      <c r="H7" s="13"/>
      <c r="I7" s="13"/>
      <c r="J7" s="13" t="s">
        <v>143</v>
      </c>
      <c r="K7" s="13"/>
      <c r="L7" s="13"/>
    </row>
    <row r="8" spans="1:12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spans="1:12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</row>
    <row r="10" spans="1:12">
      <c r="A10" s="14">
        <f>SUMIFS(Sales_Data!$M$2:$M$501,Sales_Data!$G$2:$G$501,IF($A$5="All","*",$A$5),Sales_Data!$F$2:$F$501,IF($C$5="All","*",$C$5),Sales_Data!$H$2:$H$501,IF($E$5="All","*",$E$5),Sales_Data!$I$2:$I$501,IF($G$5="All","*",$G$5),Sales_Data!$O$2:$O$501,IF($I$5="All","*",$I$5),Sales_Data!$N$2:$N$501,IF($K$5="All","*",$K$5))</f>
        <v>3208552.8899999978</v>
      </c>
      <c r="B10" s="15"/>
      <c r="C10" s="15"/>
      <c r="D10" s="20">
        <f>COUNTIFS(Sales_Data!$G$2:$G$501,IF($A$5="All","*",$A$5),Sales_Data!$F$2:$F$501,IF($C$5="All","*",$C$5),Sales_Data!$H$2:$H$501,IF($E$5="All","*",$E$5),Sales_Data!$I$2:$I$501,IF($G$5="All","*",$G$5),Sales_Data!$O$2:$O$501,"Delivered",Sales_Data!$N$2:$N$501,IF($K$5="All","*",$K$5))</f>
        <v>416</v>
      </c>
      <c r="E10" s="15"/>
      <c r="F10" s="15"/>
      <c r="G10" s="21">
        <f>IFERROR(SUMIFS(Sales_Data!$M$2:$M$501,Sales_Data!$G$2:$G$501,IF($A$5="All","*",$A$5),Sales_Data!$F$2:$F$501,IF($C$5="All","*",$C$5),Sales_Data!$H$2:$H$501,IF($E$5="All","*",$E$5),Sales_Data!$I$2:$I$501,IF($G$5="All","*",$G$5),Sales_Data!$O$2:$O$501,IF($I$5="All","*",$I$5),Sales_Data!$N$2:$N$501,IF($K$5="All","*",$K$5))/COUNTIFS(Sales_Data!$G$2:$G$501,IF($A$5="All","*",$A$5),Sales_Data!$F$2:$F$501,IF($C$5="All","*",$C$5),Sales_Data!$H$2:$H$501,IF($E$5="All","*",$E$5),Sales_Data!$I$2:$I$501,IF($G$5="All","*",$G$5),Sales_Data!$O$2:$O$501,IF($I$5="All","*",$I$5),Sales_Data!$N$2:$N$501,IF($K$5="All","*",$K$5)),0)</f>
        <v>6417.1057799999953</v>
      </c>
      <c r="H10" s="15"/>
      <c r="I10" s="15"/>
      <c r="J10" s="22">
        <f>IFERROR(COUNTIFS(Sales_Data!$G$2:$G$501,IF($A$5="All","*",$A$5),Sales_Data!$F$2:$F$501,IF($C$5="All","*",$C$5),Sales_Data!$H$2:$H$501,IF($E$5="All","*",$E$5),Sales_Data!$I$2:$I$501,IF($G$5="All","*",$G$5),Sales_Data!$O$2:$O$501,"Cancelled",Sales_Data!$N$2:$N$501,IF($K$5="All","*",$K$5))/COUNTIFS(Sales_Data!$G$2:$G$501,IF($A$5="All","*",$A$5),Sales_Data!$F$2:$F$501,IF($C$5="All","*",$C$5),Sales_Data!$H$2:$H$501,IF($E$5="All","*",$E$5),Sales_Data!$I$2:$I$501,IF($G$5="All","*",$G$5),Sales_Data!$N$2:$N$501,IF($K$5="All","*",$K$5)),0)</f>
        <v>8.7999999999999995E-2</v>
      </c>
      <c r="K10" s="15"/>
      <c r="L10" s="23"/>
    </row>
    <row r="11" spans="1:12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24"/>
    </row>
    <row r="12" spans="1:12">
      <c r="A12" s="18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25"/>
    </row>
    <row r="16" spans="1:12">
      <c r="A16" s="3" t="s">
        <v>6</v>
      </c>
      <c r="B16" s="3" t="s">
        <v>144</v>
      </c>
      <c r="D16" s="3" t="s">
        <v>5</v>
      </c>
      <c r="E16" s="3" t="s">
        <v>144</v>
      </c>
      <c r="G16" s="3" t="s">
        <v>3</v>
      </c>
      <c r="H16" s="3" t="s">
        <v>144</v>
      </c>
      <c r="J16" s="3" t="s">
        <v>7</v>
      </c>
      <c r="K16" s="3" t="s">
        <v>144</v>
      </c>
    </row>
    <row r="17" spans="1:11">
      <c r="A17" t="s">
        <v>44</v>
      </c>
      <c r="B17" s="4">
        <f>SUMIFS(Sales_Data!$M$2:$M$501,Sales_Data!$G$2:$G$501,A17,Sales_Data!$O$2:$O$501,"Delivered")</f>
        <v>493850.5499999997</v>
      </c>
      <c r="D17" t="s">
        <v>26</v>
      </c>
      <c r="E17" s="4">
        <f>SUMIFS(Sales_Data!$M$2:$M$501,Sales_Data!$F$2:$F$501,D17,Sales_Data!$O$2:$O$501,"Delivered")</f>
        <v>1440149.4300000009</v>
      </c>
      <c r="G17" t="s">
        <v>52</v>
      </c>
      <c r="H17" s="4">
        <f>SUMIFS(Sales_Data!$M$2:$M$501,Sales_Data!$D$2:$D$501,G17,Sales_Data!$O$2:$O$501,"Delivered")</f>
        <v>168982.46999999997</v>
      </c>
      <c r="J17" t="s">
        <v>62</v>
      </c>
      <c r="K17" s="4">
        <f>SUMIFS(Sales_Data!$M$2:$M$501,Sales_Data!$H$2:$H$501,J17,Sales_Data!$O$2:$O$501,"Delivered")</f>
        <v>255175.00000000003</v>
      </c>
    </row>
    <row r="18" spans="1:11">
      <c r="A18" t="s">
        <v>80</v>
      </c>
      <c r="B18" s="4">
        <f>SUMIFS(Sales_Data!$M$2:$M$501,Sales_Data!$G$2:$G$501,A18,Sales_Data!$O$2:$O$501,"Delivered")</f>
        <v>529348.92000000016</v>
      </c>
      <c r="D18" t="s">
        <v>17</v>
      </c>
      <c r="E18" s="4">
        <f>SUMIFS(Sales_Data!$M$2:$M$501,Sales_Data!$F$2:$F$501,D18,Sales_Data!$O$2:$O$501,"Delivered")</f>
        <v>909489.57000000007</v>
      </c>
      <c r="G18" t="s">
        <v>24</v>
      </c>
      <c r="H18" s="4">
        <f>SUMIFS(Sales_Data!$M$2:$M$501,Sales_Data!$D$2:$D$501,G18,Sales_Data!$O$2:$O$501,"Delivered")</f>
        <v>294995.93000000005</v>
      </c>
      <c r="J18" t="s">
        <v>19</v>
      </c>
      <c r="K18" s="4">
        <f>SUMIFS(Sales_Data!$M$2:$M$501,Sales_Data!$H$2:$H$501,J18,Sales_Data!$O$2:$O$501,"Delivered")</f>
        <v>323754.76999999996</v>
      </c>
    </row>
    <row r="19" spans="1:11">
      <c r="A19" t="s">
        <v>33</v>
      </c>
      <c r="B19" s="4">
        <f>SUMIFS(Sales_Data!$M$2:$M$501,Sales_Data!$G$2:$G$501,A19,Sales_Data!$O$2:$O$501,"Delivered")</f>
        <v>524141.42000000004</v>
      </c>
      <c r="D19" t="s">
        <v>79</v>
      </c>
      <c r="E19" s="4">
        <f>SUMIFS(Sales_Data!$M$2:$M$501,Sales_Data!$F$2:$F$501,D19,Sales_Data!$O$2:$O$501,"Delivered")</f>
        <v>345973.72999999992</v>
      </c>
      <c r="G19" t="s">
        <v>81</v>
      </c>
      <c r="H19" s="4">
        <f>SUMIFS(Sales_Data!$M$2:$M$501,Sales_Data!$D$2:$D$501,G19,Sales_Data!$O$2:$O$501,"Delivered")</f>
        <v>221079.75999999998</v>
      </c>
      <c r="J19" t="s">
        <v>60</v>
      </c>
      <c r="K19" s="4">
        <f>SUMIFS(Sales_Data!$M$2:$M$501,Sales_Data!$H$2:$H$501,J19,Sales_Data!$O$2:$O$501,"Delivered")</f>
        <v>260833.44</v>
      </c>
    </row>
    <row r="20" spans="1:11">
      <c r="A20" t="s">
        <v>38</v>
      </c>
      <c r="B20" s="4">
        <f>SUMIFS(Sales_Data!$M$2:$M$501,Sales_Data!$G$2:$G$501,A20,Sales_Data!$O$2:$O$501,"Delivered")</f>
        <v>556106.49000000011</v>
      </c>
      <c r="G20" t="s">
        <v>86</v>
      </c>
      <c r="H20" s="4">
        <f>SUMIFS(Sales_Data!$M$2:$M$501,Sales_Data!$D$2:$D$501,G20,Sales_Data!$O$2:$O$501,"Delivered")</f>
        <v>156729.19999999998</v>
      </c>
      <c r="J20" t="s">
        <v>45</v>
      </c>
      <c r="K20" s="4">
        <f>SUMIFS(Sales_Data!$M$2:$M$501,Sales_Data!$H$2:$H$501,J20,Sales_Data!$O$2:$O$501,"Delivered")</f>
        <v>225204.02999999994</v>
      </c>
    </row>
    <row r="21" spans="1:11">
      <c r="A21" t="s">
        <v>18</v>
      </c>
      <c r="B21" s="4">
        <f>SUMIFS(Sales_Data!$M$2:$M$501,Sales_Data!$G$2:$G$501,A21,Sales_Data!$O$2:$O$501,"Delivered")</f>
        <v>592165.35</v>
      </c>
      <c r="G21" t="s">
        <v>31</v>
      </c>
      <c r="H21" s="4">
        <f>SUMIFS(Sales_Data!$M$2:$M$501,Sales_Data!$D$2:$D$501,G21,Sales_Data!$O$2:$O$501,"Delivered")</f>
        <v>344091.76999999996</v>
      </c>
      <c r="J21" t="s">
        <v>90</v>
      </c>
      <c r="K21" s="4">
        <f>SUMIFS(Sales_Data!$M$2:$M$501,Sales_Data!$H$2:$H$501,J21,Sales_Data!$O$2:$O$501,"Delivered")</f>
        <v>250889.63999999996</v>
      </c>
    </row>
    <row r="22" spans="1:11">
      <c r="G22" t="s">
        <v>101</v>
      </c>
      <c r="H22" s="4">
        <f>SUMIFS(Sales_Data!$M$2:$M$501,Sales_Data!$D$2:$D$501,G22,Sales_Data!$O$2:$O$501,"Delivered")</f>
        <v>261606.83999999997</v>
      </c>
      <c r="J22" t="s">
        <v>54</v>
      </c>
      <c r="K22" s="4">
        <f>SUMIFS(Sales_Data!$M$2:$M$501,Sales_Data!$H$2:$H$501,J22,Sales_Data!$O$2:$O$501,"Delivered")</f>
        <v>338341.4800000001</v>
      </c>
    </row>
    <row r="23" spans="1:11">
      <c r="G23" t="s">
        <v>36</v>
      </c>
      <c r="H23" s="4">
        <f>SUMIFS(Sales_Data!$M$2:$M$501,Sales_Data!$D$2:$D$501,G23,Sales_Data!$O$2:$O$501,"Delivered")</f>
        <v>246151.11999999997</v>
      </c>
      <c r="J23" t="s">
        <v>27</v>
      </c>
      <c r="K23" s="4">
        <f>SUMIFS(Sales_Data!$M$2:$M$501,Sales_Data!$H$2:$H$501,J23,Sales_Data!$O$2:$O$501,"Delivered")</f>
        <v>367168.75999999995</v>
      </c>
    </row>
    <row r="24" spans="1:11">
      <c r="G24" t="s">
        <v>47</v>
      </c>
      <c r="H24" s="4">
        <f>SUMIFS(Sales_Data!$M$2:$M$501,Sales_Data!$D$2:$D$501,G24,Sales_Data!$O$2:$O$501,"Delivered")</f>
        <v>165300.06</v>
      </c>
      <c r="J24" t="s">
        <v>73</v>
      </c>
      <c r="K24" s="4">
        <f>SUMIFS(Sales_Data!$M$2:$M$501,Sales_Data!$H$2:$H$501,J24,Sales_Data!$O$2:$O$501,"Delivered")</f>
        <v>270330.61999999988</v>
      </c>
    </row>
    <row r="25" spans="1:11">
      <c r="G25" t="s">
        <v>69</v>
      </c>
      <c r="H25" s="4">
        <f>SUMIFS(Sales_Data!$M$2:$M$501,Sales_Data!$D$2:$D$501,G25,Sales_Data!$O$2:$O$501,"Delivered")</f>
        <v>241700.45</v>
      </c>
      <c r="J25" t="s">
        <v>67</v>
      </c>
      <c r="K25" s="4">
        <f>SUMIFS(Sales_Data!$M$2:$M$501,Sales_Data!$H$2:$H$501,J25,Sales_Data!$O$2:$O$501,"Delivered")</f>
        <v>227764.91000000003</v>
      </c>
    </row>
    <row r="26" spans="1:11">
      <c r="G26" t="s">
        <v>65</v>
      </c>
      <c r="H26" s="4">
        <f>SUMIFS(Sales_Data!$M$2:$M$501,Sales_Data!$D$2:$D$501,G26,Sales_Data!$O$2:$O$501,"Delivered")</f>
        <v>200395.66000000003</v>
      </c>
      <c r="J26" t="s">
        <v>49</v>
      </c>
      <c r="K26" s="4">
        <f>SUMIFS(Sales_Data!$M$2:$M$501,Sales_Data!$H$2:$H$501,J26,Sales_Data!$O$2:$O$501,"Delivered")</f>
        <v>176150.08</v>
      </c>
    </row>
    <row r="27" spans="1:11">
      <c r="G27" t="s">
        <v>15</v>
      </c>
      <c r="H27" s="4">
        <f>SUMIFS(Sales_Data!$M$2:$M$501,Sales_Data!$D$2:$D$501,G27,Sales_Data!$O$2:$O$501,"Delivered")</f>
        <v>240424.46</v>
      </c>
    </row>
    <row r="28" spans="1:11">
      <c r="G28" t="s">
        <v>71</v>
      </c>
      <c r="H28" s="4">
        <f>SUMIFS(Sales_Data!$M$2:$M$501,Sales_Data!$D$2:$D$501,G28,Sales_Data!$O$2:$O$501,"Delivered")</f>
        <v>154155.00999999998</v>
      </c>
    </row>
  </sheetData>
  <mergeCells count="21">
    <mergeCell ref="A10:C12"/>
    <mergeCell ref="D10:F12"/>
    <mergeCell ref="G10:I12"/>
    <mergeCell ref="J10:L12"/>
    <mergeCell ref="K5:L5"/>
    <mergeCell ref="A7:C9"/>
    <mergeCell ref="D7:F9"/>
    <mergeCell ref="G7:I9"/>
    <mergeCell ref="J7:L9"/>
    <mergeCell ref="A5:B5"/>
    <mergeCell ref="C5:D5"/>
    <mergeCell ref="E5:F5"/>
    <mergeCell ref="G5:H5"/>
    <mergeCell ref="I5:J5"/>
    <mergeCell ref="A1:L2"/>
    <mergeCell ref="A4:B4"/>
    <mergeCell ref="C4:D4"/>
    <mergeCell ref="E4:F4"/>
    <mergeCell ref="G4:H4"/>
    <mergeCell ref="I4:J4"/>
    <mergeCell ref="K4:L4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100-000000000000}">
          <x14:formula1>
            <xm:f>Lists!$A$2:$A$7</xm:f>
          </x14:formula1>
          <xm:sqref>A5</xm:sqref>
        </x14:dataValidation>
        <x14:dataValidation type="list" xr:uid="{00000000-0002-0000-0100-000001000000}">
          <x14:formula1>
            <xm:f>Lists!$B$2:$B$5</xm:f>
          </x14:formula1>
          <xm:sqref>C5</xm:sqref>
        </x14:dataValidation>
        <x14:dataValidation type="list" xr:uid="{00000000-0002-0000-0100-000002000000}">
          <x14:formula1>
            <xm:f>Lists!$C$2:$C$12</xm:f>
          </x14:formula1>
          <xm:sqref>E5</xm:sqref>
        </x14:dataValidation>
        <x14:dataValidation type="list" xr:uid="{00000000-0002-0000-0100-000003000000}">
          <x14:formula1>
            <xm:f>Lists!$D$2:$D$7</xm:f>
          </x14:formula1>
          <xm:sqref>G5</xm:sqref>
        </x14:dataValidation>
        <x14:dataValidation type="list" xr:uid="{00000000-0002-0000-0100-000004000000}">
          <x14:formula1>
            <xm:f>Lists!$E$2:$E$5</xm:f>
          </x14:formula1>
          <xm:sqref>I5</xm:sqref>
        </x14:dataValidation>
        <x14:dataValidation type="list" xr:uid="{00000000-0002-0000-0100-000005000000}">
          <x14:formula1>
            <xm:f>Lists!$F$2:$F$6</xm:f>
          </x14:formula1>
          <xm:sqref>K5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/>
  </sheetViews>
  <sheetFormatPr defaultRowHeight="13.8"/>
  <cols>
    <col min="3" max="3" width="13.09765625" bestFit="1" customWidth="1"/>
  </cols>
  <sheetData>
    <row r="1" spans="1:6">
      <c r="A1" s="3" t="s">
        <v>6</v>
      </c>
      <c r="B1" s="3" t="s">
        <v>5</v>
      </c>
      <c r="C1" s="3" t="s">
        <v>7</v>
      </c>
      <c r="D1" s="3" t="s">
        <v>8</v>
      </c>
      <c r="E1" s="3" t="s">
        <v>14</v>
      </c>
      <c r="F1" s="3" t="s">
        <v>138</v>
      </c>
    </row>
    <row r="2" spans="1:6">
      <c r="A2" t="s">
        <v>139</v>
      </c>
      <c r="B2" t="s">
        <v>139</v>
      </c>
      <c r="C2" t="s">
        <v>139</v>
      </c>
      <c r="D2" t="s">
        <v>139</v>
      </c>
      <c r="E2" t="s">
        <v>139</v>
      </c>
      <c r="F2" t="s">
        <v>139</v>
      </c>
    </row>
    <row r="3" spans="1:6">
      <c r="A3" t="s">
        <v>44</v>
      </c>
      <c r="B3" t="s">
        <v>26</v>
      </c>
      <c r="C3" t="s">
        <v>62</v>
      </c>
      <c r="D3" t="s">
        <v>20</v>
      </c>
      <c r="E3" t="s">
        <v>23</v>
      </c>
      <c r="F3" t="s">
        <v>35</v>
      </c>
    </row>
    <row r="4" spans="1:6">
      <c r="A4" t="s">
        <v>80</v>
      </c>
      <c r="B4" t="s">
        <v>17</v>
      </c>
      <c r="C4" t="s">
        <v>19</v>
      </c>
      <c r="D4" t="s">
        <v>28</v>
      </c>
      <c r="E4" t="s">
        <v>42</v>
      </c>
      <c r="F4" t="s">
        <v>30</v>
      </c>
    </row>
    <row r="5" spans="1:6">
      <c r="A5" t="s">
        <v>33</v>
      </c>
      <c r="B5" t="s">
        <v>79</v>
      </c>
      <c r="C5" t="s">
        <v>60</v>
      </c>
      <c r="D5" t="s">
        <v>39</v>
      </c>
      <c r="E5" t="s">
        <v>70</v>
      </c>
      <c r="F5" t="s">
        <v>41</v>
      </c>
    </row>
    <row r="6" spans="1:6">
      <c r="A6" t="s">
        <v>38</v>
      </c>
      <c r="C6" t="s">
        <v>45</v>
      </c>
      <c r="D6" t="s">
        <v>57</v>
      </c>
      <c r="F6" t="s">
        <v>22</v>
      </c>
    </row>
    <row r="7" spans="1:6">
      <c r="A7" t="s">
        <v>18</v>
      </c>
      <c r="C7" t="s">
        <v>90</v>
      </c>
      <c r="D7" t="s">
        <v>63</v>
      </c>
    </row>
    <row r="8" spans="1:6">
      <c r="C8" t="s">
        <v>54</v>
      </c>
    </row>
    <row r="9" spans="1:6">
      <c r="C9" t="s">
        <v>27</v>
      </c>
    </row>
    <row r="10" spans="1:6">
      <c r="C10" t="s">
        <v>73</v>
      </c>
    </row>
    <row r="11" spans="1:6">
      <c r="C11" t="s">
        <v>67</v>
      </c>
    </row>
    <row r="12" spans="1:6">
      <c r="C12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>
      <selection sqref="A1:H2"/>
    </sheetView>
  </sheetViews>
  <sheetFormatPr defaultRowHeight="13.8"/>
  <cols>
    <col min="1" max="1" width="33.09765625" customWidth="1"/>
    <col min="2" max="2" width="70" customWidth="1"/>
  </cols>
  <sheetData>
    <row r="1" spans="1:8">
      <c r="A1" s="7" t="s">
        <v>145</v>
      </c>
      <c r="B1" s="8"/>
      <c r="C1" s="8"/>
      <c r="D1" s="8"/>
      <c r="E1" s="8"/>
      <c r="F1" s="8"/>
      <c r="G1" s="8"/>
      <c r="H1" s="8"/>
    </row>
    <row r="2" spans="1:8">
      <c r="A2" s="8"/>
      <c r="B2" s="8"/>
      <c r="C2" s="8"/>
      <c r="D2" s="8"/>
      <c r="E2" s="8"/>
      <c r="F2" s="8"/>
      <c r="G2" s="8"/>
      <c r="H2" s="8"/>
    </row>
    <row r="4" spans="1:8">
      <c r="A4" s="5" t="s">
        <v>146</v>
      </c>
      <c r="B4" s="6" t="s">
        <v>147</v>
      </c>
    </row>
    <row r="5" spans="1:8">
      <c r="A5" s="5" t="s">
        <v>148</v>
      </c>
      <c r="B5" s="6" t="s">
        <v>149</v>
      </c>
    </row>
    <row r="6" spans="1:8">
      <c r="A6" s="5" t="s">
        <v>150</v>
      </c>
      <c r="B6" s="6" t="s">
        <v>151</v>
      </c>
    </row>
    <row r="7" spans="1:8">
      <c r="A7" s="5" t="s">
        <v>152</v>
      </c>
      <c r="B7" s="6" t="s">
        <v>153</v>
      </c>
    </row>
    <row r="8" spans="1:8">
      <c r="A8" s="5" t="s">
        <v>154</v>
      </c>
      <c r="B8" s="6" t="s">
        <v>155</v>
      </c>
    </row>
    <row r="9" spans="1:8">
      <c r="A9" s="5" t="s">
        <v>156</v>
      </c>
      <c r="B9" s="6" t="s">
        <v>157</v>
      </c>
    </row>
  </sheetData>
  <mergeCells count="1"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Sales_Data</vt:lpstr>
      <vt:lpstr>Dashboard</vt:lpstr>
      <vt:lpstr>Lists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oliveira</cp:lastModifiedBy>
  <dcterms:modified xsi:type="dcterms:W3CDTF">2026-07-13T14:36:14Z</dcterms:modified>
</cp:coreProperties>
</file>